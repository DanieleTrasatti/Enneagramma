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192.168.1.2\personale_ok_sync_drive_nas\_DANIELE\PSICOLOGIA\ENNEAGRAMMA\QUESTIONARIO GOOGLE + GITHUB\QUESTIONARIO\"/>
    </mc:Choice>
  </mc:AlternateContent>
  <xr:revisionPtr revIDLastSave="0" documentId="13_ncr:20001_{E11EEBD6-5AEB-44D3-8C9C-81F81473B4EB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able 1" sheetId="1" r:id="rId1"/>
    <sheet name="Punteggi" sheetId="2" state="hidden" r:id="rId2"/>
    <sheet name="Istruzioni" sheetId="3" state="hidden" r:id="rId3"/>
  </sheets>
  <definedNames>
    <definedName name="_xlnm._FilterDatabase" localSheetId="0" hidden="1">'Table 1'!$B$1:$B$163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" l="1"/>
  <c r="B23" i="2"/>
  <c r="B22" i="2"/>
  <c r="K12" i="2"/>
  <c r="J12" i="2"/>
  <c r="I12" i="2"/>
  <c r="H12" i="2"/>
  <c r="G12" i="2"/>
  <c r="F12" i="2"/>
  <c r="E12" i="2"/>
  <c r="D12" i="2"/>
  <c r="C12" i="2"/>
  <c r="K11" i="2"/>
  <c r="J11" i="2"/>
  <c r="I11" i="2"/>
  <c r="H11" i="2"/>
  <c r="G11" i="2"/>
  <c r="F11" i="2"/>
  <c r="E11" i="2"/>
  <c r="D11" i="2"/>
  <c r="C11" i="2"/>
  <c r="K10" i="2"/>
  <c r="J10" i="2"/>
  <c r="I10" i="2"/>
  <c r="H10" i="2"/>
  <c r="G10" i="2"/>
  <c r="F10" i="2"/>
  <c r="E10" i="2"/>
  <c r="D10" i="2"/>
  <c r="C10" i="2"/>
  <c r="K9" i="2"/>
  <c r="J9" i="2"/>
  <c r="I9" i="2"/>
  <c r="H9" i="2"/>
  <c r="G9" i="2"/>
  <c r="F9" i="2"/>
  <c r="E9" i="2"/>
  <c r="D9" i="2"/>
  <c r="C9" i="2"/>
  <c r="K8" i="2"/>
  <c r="J8" i="2"/>
  <c r="I8" i="2"/>
  <c r="H8" i="2"/>
  <c r="G8" i="2"/>
  <c r="F8" i="2"/>
  <c r="E8" i="2"/>
  <c r="D8" i="2"/>
  <c r="C8" i="2"/>
  <c r="K7" i="2"/>
  <c r="J7" i="2"/>
  <c r="I7" i="2"/>
  <c r="H7" i="2"/>
  <c r="G7" i="2"/>
  <c r="F7" i="2"/>
  <c r="E7" i="2"/>
  <c r="D7" i="2"/>
  <c r="C7" i="2"/>
  <c r="K6" i="2"/>
  <c r="J6" i="2"/>
  <c r="I6" i="2"/>
  <c r="H6" i="2"/>
  <c r="G6" i="2"/>
  <c r="F6" i="2"/>
  <c r="E6" i="2"/>
  <c r="D6" i="2"/>
  <c r="C6" i="2"/>
  <c r="K5" i="2"/>
  <c r="J5" i="2"/>
  <c r="I5" i="2"/>
  <c r="H5" i="2"/>
  <c r="G5" i="2"/>
  <c r="F5" i="2"/>
  <c r="E5" i="2"/>
  <c r="D5" i="2"/>
  <c r="C5" i="2"/>
  <c r="K4" i="2"/>
  <c r="J4" i="2"/>
  <c r="I4" i="2"/>
  <c r="H4" i="2"/>
  <c r="G4" i="2"/>
  <c r="F4" i="2"/>
  <c r="E4" i="2"/>
  <c r="D4" i="2"/>
  <c r="C4" i="2"/>
  <c r="L4" i="2" s="1"/>
  <c r="L8" i="2" l="1"/>
  <c r="M8" i="2" s="1"/>
  <c r="L12" i="2"/>
  <c r="M12" i="2" s="1"/>
  <c r="L7" i="2"/>
  <c r="M7" i="2" s="1"/>
  <c r="L11" i="2"/>
  <c r="M11" i="2" s="1"/>
  <c r="L6" i="2"/>
  <c r="M6" i="2" s="1"/>
  <c r="L10" i="2"/>
  <c r="M10" i="2" s="1"/>
  <c r="L5" i="2"/>
  <c r="M5" i="2" s="1"/>
  <c r="L9" i="2"/>
  <c r="M9" i="2" s="1"/>
  <c r="M4" i="2"/>
  <c r="B18" i="2"/>
  <c r="E17" i="2"/>
  <c r="E16" i="2"/>
  <c r="B17" i="2" l="1"/>
  <c r="E18" i="2"/>
  <c r="B15" i="2"/>
  <c r="E15" i="2"/>
  <c r="B16" i="2"/>
</calcChain>
</file>

<file path=xl/sharedStrings.xml><?xml version="1.0" encoding="utf-8"?>
<sst xmlns="http://schemas.openxmlformats.org/spreadsheetml/2006/main" count="729" uniqueCount="263">
  <si>
    <t>PUNTEGGI AUTOMATICI</t>
  </si>
  <si>
    <t>Tipo</t>
  </si>
  <si>
    <t>Nome</t>
  </si>
  <si>
    <t>Motivazioni</t>
  </si>
  <si>
    <t>Paure</t>
  </si>
  <si>
    <t>Automatismi</t>
  </si>
  <si>
    <t>Modalità relazionali</t>
  </si>
  <si>
    <t>Reazioni sotto pressione</t>
  </si>
  <si>
    <t>Rapporto con gli altri</t>
  </si>
  <si>
    <t>Modalità decisionali</t>
  </si>
  <si>
    <t>Errori ricorrenti</t>
  </si>
  <si>
    <t>Strategie abituali</t>
  </si>
  <si>
    <t>Totale (max 18)</t>
  </si>
  <si>
    <t>%</t>
  </si>
  <si>
    <t>Tipo 1</t>
  </si>
  <si>
    <t>Il Riformatore</t>
  </si>
  <si>
    <t>Tipo 2</t>
  </si>
  <si>
    <t>L'Altruista</t>
  </si>
  <si>
    <t>Tipo 3</t>
  </si>
  <si>
    <t>Il Realizzatore</t>
  </si>
  <si>
    <t>Tipo 4</t>
  </si>
  <si>
    <t>L'Individualista</t>
  </si>
  <si>
    <t>Tipo 5</t>
  </si>
  <si>
    <t>L'Osservatore</t>
  </si>
  <si>
    <t>Tipo 6</t>
  </si>
  <si>
    <t>Il Leale</t>
  </si>
  <si>
    <t>Tipo 7</t>
  </si>
  <si>
    <t>L'Entusiasta</t>
  </si>
  <si>
    <t>Tipo 8</t>
  </si>
  <si>
    <t>Il Protettore</t>
  </si>
  <si>
    <t>Tipo 9</t>
  </si>
  <si>
    <t>Il Pacificatore</t>
  </si>
  <si>
    <t>CLASSIFICAZIONE</t>
  </si>
  <si>
    <t>Tipo principale</t>
  </si>
  <si>
    <t>Punteggio tipo principale</t>
  </si>
  <si>
    <t>Tipo secondario</t>
  </si>
  <si>
    <t>Punteggio tipo secondario</t>
  </si>
  <si>
    <t>Ala sinistra (Tipo N-1)</t>
  </si>
  <si>
    <t>Punteggio ala sinistra</t>
  </si>
  <si>
    <t>Ala destra (Tipo N+1)</t>
  </si>
  <si>
    <t>Punteggio ala destra</t>
  </si>
  <si>
    <t>Le ali sono sempre i due tipi numericamente adiacenti al tipo principale (fissi per teoria); il tipo secondario è il tipo con il secondo punteggio più alto, qualunque esso sia — può coincidere con un'ala oppure no.</t>
  </si>
  <si>
    <t>CONTROLLO COMPILAZIONE</t>
  </si>
  <si>
    <t>Risposte SI totali</t>
  </si>
  <si>
    <t>Risposte NO totali</t>
  </si>
  <si>
    <t>Domande senza risposta</t>
  </si>
  <si>
    <t>Il tipo principale è quello con il punteggio totale più alto. Le ali sono i due tipi teoricamente adiacenti al tipo principale; il tipo secondario è il tipo (qualunque esso sia) con il secondo punteggio più alto. I 9 indicatori (motivazioni, paure, automatismi, modalità relazionali, reazioni sotto pressione, rapporto con gli altri, modalità decisionali, errori ricorrenti, strategie abituali) coprono ogni tipo con 18 domande: 2 per ciascun indicatore. L'indicatore 'desideri' è stato eliminato perché, in enneagramma, il desiderio di un tipo è speculare alla sua paura e rischiava una doppia misurazione.</t>
  </si>
  <si>
    <t>ESITO NUMERO</t>
  </si>
  <si>
    <t>ESITO TESTO</t>
  </si>
  <si>
    <t>DOMANDA</t>
  </si>
  <si>
    <t>Faccetta</t>
  </si>
  <si>
    <t>INDICATORE</t>
  </si>
  <si>
    <t>Tipo 3 – L'Esecutore</t>
  </si>
  <si>
    <t>Quando sono sotto pressione, giudico la mia giornata soprattutto da quanto ho prodotto.</t>
  </si>
  <si>
    <t>Pressione</t>
  </si>
  <si>
    <t>SI</t>
  </si>
  <si>
    <t>reazioni sotto pressione</t>
  </si>
  <si>
    <t>Tipo 1 – Il Perfezionista</t>
  </si>
  <si>
    <t>Temo che un errore importante dica qualcosa di negativo sul mio valore come persona.</t>
  </si>
  <si>
    <t>Paura</t>
  </si>
  <si>
    <t>paure</t>
  </si>
  <si>
    <t>Tipo 6 – Lo Scettico Leale</t>
  </si>
  <si>
    <t>Sapere in anticipo che cosa ci si aspetta da me mi dà tranquillità.</t>
  </si>
  <si>
    <t>Motivazione</t>
  </si>
  <si>
    <t>motivazioni</t>
  </si>
  <si>
    <t>Mi trovo meglio dove regole e ruoli sono chiari e so chi è responsabile di cosa.</t>
  </si>
  <si>
    <t>Strategia</t>
  </si>
  <si>
    <t>strategie abituali</t>
  </si>
  <si>
    <t>Tipo 5 – L'Osservatore</t>
  </si>
  <si>
    <t>Preferisco conversazioni con un contenuto sostanziale alle chiacchiere generiche.</t>
  </si>
  <si>
    <t>Tipo 7 – L'Ottimista</t>
  </si>
  <si>
    <t>Temo di rimanere bloccato in una situazione dolorosa senza una via d'uscita.</t>
  </si>
  <si>
    <t>Tipo 4 – Il Romantico</t>
  </si>
  <si>
    <t>Confrontarmi con ciò che gli altri vivono mi fa notare ciò che sento mancare nella mia esperienza.</t>
  </si>
  <si>
    <t>rapporto con gli altri</t>
  </si>
  <si>
    <t>Tipo 2 – L'Altruista</t>
  </si>
  <si>
    <t>Sotto pressione, tendo a offrire aiuto per sentirmi indispensabile più che per il bisogno concreto dell'altro.</t>
  </si>
  <si>
    <t>Approfondimento</t>
  </si>
  <si>
    <t>automatismi</t>
  </si>
  <si>
    <t>Offro aiuto anche non richiesto: è il mio modo abituale di entrare in contatto con le persone.</t>
  </si>
  <si>
    <t>Tipo 9 – Il Mediatore</t>
  </si>
  <si>
    <t>Rimando spesso le decisioni perché faccio fatica a capire qual è la mia vera priorità.</t>
  </si>
  <si>
    <t>modalità decisionali</t>
  </si>
  <si>
    <t>Tipo 8 – Il Capo</t>
  </si>
  <si>
    <t>Mi infastidisce sentirmi limitato da qualcuno che non considero autorevole o corretto.</t>
  </si>
  <si>
    <t>Tendo a raccogliere informazioni molto oltre il necessario prima di sentirmi pronto ad agire.</t>
  </si>
  <si>
    <t>Se sento che potrei ottenere ancora qualcosa, faccio fatica a staccarmi dall'impegno.</t>
  </si>
  <si>
    <t>Accetto proposte che non desidero davvero pur di evitare il disagio di contraddire qualcuno.</t>
  </si>
  <si>
    <t>Relazioni</t>
  </si>
  <si>
    <t>modalità relazionali</t>
  </si>
  <si>
    <t>Le emozioni intense sono per me una fonte importante di comprensione di me stesso.</t>
  </si>
  <si>
    <t>Quando penso che gli altri non stiano ascoltando, alzo il tono e divento molto diretto.</t>
  </si>
  <si>
    <t>Gli altri si entusiasmano facilmente quando racconto ciò che sarebbe possibile fare.</t>
  </si>
  <si>
    <t>Quando devo scegliere, sento il bisogno di capire quale sia l'opzione più corretta.</t>
  </si>
  <si>
    <t>Quando cerco di mantenere l'armonia, perdo di vista ciò che voglio per me.</t>
  </si>
  <si>
    <t>Mi pongo spesso la domanda: questa persona, questa cosa, è davvero autentica?</t>
  </si>
  <si>
    <t>Quando non mi sento compreso, desidero che l'altro colga da solo la profondità di ciò che provo.</t>
  </si>
  <si>
    <t>Quando ricevo una critica, la mia prima mossa è verificare se contiene qualcosa di vero.</t>
  </si>
  <si>
    <t>Collaboro con più slancio quando c'è un traguardo comune ben definito da raggiungere insieme.</t>
  </si>
  <si>
    <t>Quando non mi sento considerato dopo essermi impegnato per qualcuno, provo una delusione difficile da esprimere.</t>
  </si>
  <si>
    <t>Faccio fatica a chiedere aiuto per me, soprattutto se penso che l'altra persona ne abbia più bisogno.</t>
  </si>
  <si>
    <t>Mi interessa acquisire conoscenze che mi permettano di capire come funzionano le cose.</t>
  </si>
  <si>
    <t>Mi è capitato di rinunciare a opportunità perché volevo prima essere sicuro di poterle gestire.</t>
  </si>
  <si>
    <t>errori ricorrenti</t>
  </si>
  <si>
    <t>Inizio spesso progetti nuovi prima di aver concluso quelli precedenti.</t>
  </si>
  <si>
    <t>Preferisco affrontare un problema subito, anche se questo crea tensione, piuttosto che lasciarlo sospeso.</t>
  </si>
  <si>
    <t>A volte evito di ammettere un insuccesso anche quando parlarne mi semplificherebbe le cose.</t>
  </si>
  <si>
    <t>Adatto facilmente le mie preferenze a quelle delle persone con cui mi trovo.</t>
  </si>
  <si>
    <t>Mi mette a disagio dipendere troppo da un'altra persona.</t>
  </si>
  <si>
    <t>Quando ho un problema, preferisco risolverlo da solo, piuttosto che chiedere aiuto.</t>
  </si>
  <si>
    <t>Anche quando tutto va bene, anticipo mentalmente i problemi che potrebbero arrivare.</t>
  </si>
  <si>
    <t>Noto subito gli errori altrui, anche quando non hanno conseguenze pratiche per me.</t>
  </si>
  <si>
    <t>Nel gruppo, gli altri mi vedono come chi porta energia e allegria.</t>
  </si>
  <si>
    <t>Mi sento meglio quando le mie giornate hanno ritmi regolari e prevedibili.</t>
  </si>
  <si>
    <t>Sotto pressione, mantengo i miei standard anche quando rilassarli mi semplificherebbe la vita.</t>
  </si>
  <si>
    <t>Coinvolgo volentieri le persone vicine in nuove attività, per condividere il mio entusiasmo.</t>
  </si>
  <si>
    <t>Cerco conversazioni vivaci e ricche di idee perché mi danno energia.</t>
  </si>
  <si>
    <t>Quando qualcuno occupa troppo del mio tempo, sento il bisogno di recuperare autonomia.</t>
  </si>
  <si>
    <t>Quando aiuto qualcuno, mi interessa anche sapere che il mio gesto è stato apprezzato.</t>
  </si>
  <si>
    <t>Temo che la mia vita possa risultare banale se esprime solo ciò che è convenzionale.</t>
  </si>
  <si>
    <t>Temo che gli altri smettano di apprezzarmi se non ho risultati da mostrare.</t>
  </si>
  <si>
    <t>Quando vedo qualcuno approfittarsi di una persona più debole, reagisco quasi d'istinto.</t>
  </si>
  <si>
    <t>Mi sento a disagio quando non posso controllare ciò che accade intorno a me.</t>
  </si>
  <si>
    <t>Quando due persone sono in disaccordo, cerco spontaneamente ciò che entrambe possono accettare.</t>
  </si>
  <si>
    <t>Quando vedo che qualcosa potrebbe essere fatto meglio, mi viene spontaneo cercare come migliorarlo.</t>
  </si>
  <si>
    <t>Quando sono arrabbiato con qualcuno, mi controllo per non dire cose che considero scorrette, anche se dentro sento il contrario.</t>
  </si>
  <si>
    <t>Quando le informazioni non bastano per decidere, cerco il parere di una persona che considero competente.</t>
  </si>
  <si>
    <t>Stabilisco vicinanza emotiva con gli altri attraverso ciò che faccio per loro.</t>
  </si>
  <si>
    <t>Sotto pressione, le emozioni prendono molto spazio nella mia percezione della situazione.</t>
  </si>
  <si>
    <t>Quando provo emozioni intense, prendo subito le distanze per osservarle e capirle mentalmente.</t>
  </si>
  <si>
    <t>Quando incontro una persona nuova, valuto subito se saprebbe reggere un mio confronto diretto.</t>
  </si>
  <si>
    <t>Quando lavoro in gruppo, mi viene naturale portare tutti verso il risultato.</t>
  </si>
  <si>
    <t>Mi capita di immaginare scenari negativi per prepararmi a eventuali problemi.</t>
  </si>
  <si>
    <t>Le persone si rivolgono spesso a me per trovare un equilibrio quando sono in disaccordo.</t>
  </si>
  <si>
    <t>Il mio pensiero va spesso a ciò che non ho, più che a ciò che possiedo.</t>
  </si>
  <si>
    <t>Ho bisogno che nelle situazioni ci sia sincerità, anche quando la verità è scomoda.</t>
  </si>
  <si>
    <t>Quando un progetto diventa ripetitivo, perdo rapidamente interesse.</t>
  </si>
  <si>
    <t>Mi capita di sacrificare il tempo per me stesso pur di mantenere un ritmo efficiente.</t>
  </si>
  <si>
    <t>Temo che, se non fossi utile agli altri, perderei una parte importante del loro affetto.</t>
  </si>
  <si>
    <t>Prima di impegnarmi, valuto sempre quanto tempo ed energie mi costerà.</t>
  </si>
  <si>
    <t>Prima di agire, verifico se ciò che sto per fare rispetta i principi che ritengo importanti.</t>
  </si>
  <si>
    <t>Anche quando un risultato è 'abbastanza buono', continuo a pensare a come migliorarlo.</t>
  </si>
  <si>
    <t>Evito le situazioni tese perché mi mettono a disagio.</t>
  </si>
  <si>
    <t>Preferisco assumermi la responsabilità di una decisione piuttosto che lasciare decidere gli altri per me.</t>
  </si>
  <si>
    <t>Mi accorgo spontaneamente di ciò di cui una persona ha bisogno, anche prima che lo chieda.</t>
  </si>
  <si>
    <t>Sapere che sto ottenendo risultati concreti mi dà energia per continuare.</t>
  </si>
  <si>
    <t>Quando provo un'emozione intensa, perdo la lucidità che avrei in un momento più calmo.</t>
  </si>
  <si>
    <t>Quando vivo un'esperienza negativa, tendo subito a trasformarla in una nuova possibilità.</t>
  </si>
  <si>
    <t>Se una persona di cui mi fido mi delude, continuo a chiedermi a lungo se posso ancora fidarmi di lei.</t>
  </si>
  <si>
    <t>Ripensare continuamente alle decisioni prese mi ha fatto perdere tempo e occasioni.</t>
  </si>
  <si>
    <t>Mi sento impreparato quando devo agire senza aver avuto il tempo di raccogliere informazioni.</t>
  </si>
  <si>
    <t>Per me sentirmi importante per qualcuno ha un forte valore emotivo.</t>
  </si>
  <si>
    <t>L'idea di chiudere tutte le alternative possibili mi mette a disagio.</t>
  </si>
  <si>
    <t>Quando ascolto due persone in conflitto, riesco a comprendere il punto di vista di entrambe.</t>
  </si>
  <si>
    <t>Sotto pressione, tendo a ritirarmi e ad osservare invece di reagire subito.</t>
  </si>
  <si>
    <t>Quando avverto che qualcuno cerca di controllarmi, reagisco difendendo con forza la mia autonomia.</t>
  </si>
  <si>
    <t>Quando penso di essere escluso o frainteso, divento particolarmente sensibile.</t>
  </si>
  <si>
    <t>Temo di fallire proprio nelle cose che contano di più per la mia immagine.</t>
  </si>
  <si>
    <t>Quando qualcuno è gentile con me, sento subito il bisogno di ricambiare.</t>
  </si>
  <si>
    <t>Continuo ad aiutare anche quando vorrei che l'altro riconoscesse ciò che faccio, e accumulo risentimento.</t>
  </si>
  <si>
    <t>Agli altri mostro più facilmente quello che so fare che quello che provo.</t>
  </si>
  <si>
    <t>Appena scelgo un obiettivo, organizzo subito i passi per raggiungerlo.</t>
  </si>
  <si>
    <t>Do un significato speciale a ciò che mi manca, anche quando ho già molte cose importanti.</t>
  </si>
  <si>
    <t>Prima di esprimere un'opinione, distinguo i fatti dalle interpretazioni.</t>
  </si>
  <si>
    <t>Se qualcuno che stimo non si comporta secondo i principi che dichiara, perdo in parte la stima che ho di lui.</t>
  </si>
  <si>
    <t>Mostro la mia parte vulnerabile solo a pochissime persone di cui mi fido davvero.</t>
  </si>
  <si>
    <t>Quando un'emozione dolorosa diventa pesante, la mia strategia è passare subito a qualcos'altro.</t>
  </si>
  <si>
    <t>Mi accorgo spesso di essere arrabbiato solo dopo un po' di tempo, non subito.</t>
  </si>
  <si>
    <t>Sotto pressione, aumento controlli e verifiche prima di agire, anche se questo rallenta le cose.</t>
  </si>
  <si>
    <t>Quando vedo qualcuno approfittarsi degli altri, sento subito il bisogno di intervenire.</t>
  </si>
  <si>
    <t>Ho bisogno di sentire che nell'ambiente intorno a me c'è un certo clima di tranquillità.</t>
  </si>
  <si>
    <t>Prima di sostenere apertamente la mia posizione, tendo a capire come la vedono le altre persone coinvolte.</t>
  </si>
  <si>
    <t>Aspettarmi di essere capito senza spiegarmi ha creato incomprensioni nelle mie relazioni.</t>
  </si>
  <si>
    <t>Anche quando la soluzione più comoda è a portata di mano, scelgo quella che considero più giusta.</t>
  </si>
  <si>
    <t>Il mio bisogno di prepararmi a fondo mi ha fatto perdere occasioni che avrei potuto vivere.</t>
  </si>
  <si>
    <t>Quando mi sento insicuro, contare su una persona di fiducia mi dà la sicurezza di agire.</t>
  </si>
  <si>
    <t>Mi piace alternare attività diverse: la novità mi mantiene energico e curioso.</t>
  </si>
  <si>
    <t>Tenere tutto sotto controllo ha creato distanza con qualcuno a cui tenevo.</t>
  </si>
  <si>
    <t>Tacere ciò che provo, perché dubito che gli altri possano capirmi, mi ha fatto sembrare distante.</t>
  </si>
  <si>
    <t>Trattenere la rabbia per non sbagliare mi fa a volte sembrare più freddo di quanto sono.</t>
  </si>
  <si>
    <t>Valuto tutto ciò che faccio attraverso criteri chiari: senza, non mi sento tranquillo.</t>
  </si>
  <si>
    <t>Quando desidero affidarmi a qualcuno, tendo a metterlo alla prova.</t>
  </si>
  <si>
    <t>Quando sono sotto pressione, aumento il mio coinvolgimento nella vita degli altri.</t>
  </si>
  <si>
    <t>Quando qualcuno che mi sta a cuore ha un bisogno, metto da parte i miei programmi e lo metto al primo posto.</t>
  </si>
  <si>
    <t>Quando non so come muovermi, osservo chi ha successo e adatto rapidamente il mio comportamento.</t>
  </si>
  <si>
    <t>Evitare il dolore mi ha fatto perdere esperienze che mi avrebbero fatto crescere.</t>
  </si>
  <si>
    <t>Prima di dire di sì a una richiesta, valuto attentamente quanto tempo ed energie mi chiederà.</t>
  </si>
  <si>
    <t>Quando una situazione è difficile, tendo a raccontarla (anche a me stesso) in modo più positivo di quanto la sto vivendo.</t>
  </si>
  <si>
    <t>Se un mio modo di fare non dà i risultati sperati, cambio senza soffermarmi su come mi sento.</t>
  </si>
  <si>
    <t>Quando racconto un'esperienza, scelgo sempre di mettere in evidenza ciò che sono riuscito a ottenere.</t>
  </si>
  <si>
    <t>Temo di non avere abbastanza risorse personali per affrontare ciò che viene richiesto.</t>
  </si>
  <si>
    <t>Proteggo le persone di cui mi fido più di quanto lascio vedere: è il mio modo abituale di prendermi cura di loro.</t>
  </si>
  <si>
    <t>Preferisco un legame autentico e profondo a molte relazioni superficiali.</t>
  </si>
  <si>
    <t>Verifico personalmente le indicazioni prima di sentirmi davvero tranquillo.</t>
  </si>
  <si>
    <t>Temo che affermare con troppa forza ciò che voglio possa creare una separazione difficile da ricomporre.</t>
  </si>
  <si>
    <t>Quando mi chiedono che cosa desidero per me, faccio fatica a rispondere subito.</t>
  </si>
  <si>
    <t>Nei rapporti stretti, mi assumo spesso il ruolo di chi protegge o difende l'altro.</t>
  </si>
  <si>
    <t>Sotto pressione, la mia durezza può ferire proprio le persone che vorrei proteggere.</t>
  </si>
  <si>
    <t>Mi dà energia sapere che una situazione può aprire strade diverse.</t>
  </si>
  <si>
    <t>Prima di decidere qualcosa di difficile da cambiare, cerco più conferme del necessario.</t>
  </si>
  <si>
    <t>Cerco espressioni artistiche o simboliche che diano voce a emozioni difficili da spiegare.</t>
  </si>
  <si>
    <t>Quando qualcosa non è fatto come dovrebbe, faccio fatica a lasciarlo stare.</t>
  </si>
  <si>
    <t>Tenere troppo private certe parti della mia vita mi ha isolato anche dalle persone che mi vogliono bene.</t>
  </si>
  <si>
    <t>Quando qualcuno esprime con forza ciò che vuole, tendo ad adattarmi prima ancora di chiedermi cosa voglio io.</t>
  </si>
  <si>
    <t>Mi motiva sapere che ciò che faccio viene riconosciuto dagli altri.</t>
  </si>
  <si>
    <t>Dopo molte interazioni, sento il bisogno di ritrovare uno spazio mentale in cui nessuno mi chieda nulla.</t>
  </si>
  <si>
    <t>Quando una cosa rischia di turbare la calma del momento, la mia strategia è rimandarne l'inizio.</t>
  </si>
  <si>
    <t>Nelle scelte importanti, tendo a privilegiare ciò che sento mancarmi rispetto a ciò che già ho.</t>
  </si>
  <si>
    <t>Con le persone che stimo, mi aspetto che diano il meglio di sé.</t>
  </si>
  <si>
    <t>Se qualcuno ha bisogno di me, cambio i miei programmi senza pensarci troppo.</t>
  </si>
  <si>
    <t>Una volta che mi fido di una persona, resto fedele e presente anche nei momenti difficili.</t>
  </si>
  <si>
    <t>Nelle conversazioni tendo a spostare il discorso su toni più leggeri quando diventa troppo pesante.</t>
  </si>
  <si>
    <t>Per me è importante sentire che la mia vita esprime qualcosa di significativo e personale.</t>
  </si>
  <si>
    <t>Mi irrita quando qualcuno mi spinge a parlare prima che io abbia elaborato ciò che penso.</t>
  </si>
  <si>
    <t>Nelle situazioni importanti adotto l'immagine di me più efficace, anche se non coincide con ciò che sento.</t>
  </si>
  <si>
    <t>Prima di fidarmi di una nuova situazione, individuo ciò che potrebbe andare storto.</t>
  </si>
  <si>
    <t>Mi è difficile interrompere un'attività piacevole per affrontare qualcosa che percepisco come scomodo.</t>
  </si>
  <si>
    <t>Anche dopo aver preso una decisione, continuo a cercare un modo per non chiudere del tutto le altre possibilità.</t>
  </si>
  <si>
    <t>Noto subito, e mi disturba, quando una regola viene applicata in modo incoerente o di convenienza.</t>
  </si>
  <si>
    <t>Se mi sento provocato, reagisco d'impulso, prima ancora di pensare alle conseguenze.</t>
  </si>
  <si>
    <t>Se qualcuno si allontana dopo che mi sono impegnato molto per lui, mi chiedo che cosa abbia sbagliato.</t>
  </si>
  <si>
    <t>Interpretare il rifiuto del mio aiuto come un rifiuto di me ha creato malintesi con persone a cui voglio bene.</t>
  </si>
  <si>
    <t>Se in un gruppo nessuno decide, prendo io la guida senza aspettare che me lo chiedano.</t>
  </si>
  <si>
    <t>Sopportare a lungo una situazione scomoda pur di evitare un conflitto mi ha fatto accumulare disagio.</t>
  </si>
  <si>
    <t>Se una persona o un'autorità mi delude, divento molto prudente prima di seguirla di nuovo.</t>
  </si>
  <si>
    <t>Quando sono sotto pressione, alzo i miei standard invece di abbassarli.</t>
  </si>
  <si>
    <t>Il giudizio che ho di una persona dipende molto da come mi fa sentire.</t>
  </si>
  <si>
    <t>Quando un impegno diventa vincolante, valuto seriamente di sostituirlo con una possibilità più aperta.</t>
  </si>
  <si>
    <t>Subito dopo aver raggiunto un grande obiettivo, mi sento stranamente svuotato.</t>
  </si>
  <si>
    <t>Quando le richieste esterne aumentano molto, riduco al minimo le interazioni per conservare le mie energie.</t>
  </si>
  <si>
    <t>Quando una situazione diventa pesante, la mia prima mossa è cercare qualcosa che la renda più leggera.</t>
  </si>
  <si>
    <t>Quando devo decidere se lasciare un impegno, tendo a restare fedele anche se la situazione è diventata scomoda.</t>
  </si>
  <si>
    <t>Sotto pressione, aumento intensità e controllo della situazione invece di ritirarmi.</t>
  </si>
  <si>
    <t>Correggo mentalmente gli altri anche senza dirlo, e questo a volte mi fa sembrare giudicante.</t>
  </si>
  <si>
    <t>Mi chiedo quale significato abbia per me un'esperienza, anche quando per gli altri sembra poco importante.</t>
  </si>
  <si>
    <t>Prima di intervenire in una situazione, preferisco comprenderla a fondo.</t>
  </si>
  <si>
    <t>Mediare invece di schierarmi, a volte, mi ha fatto sentire invisibile nei rapporti.</t>
  </si>
  <si>
    <t>Quando inseguo un risultato, deciso di ignorare la stanchezza pur di arrivare all'obiettivo.</t>
  </si>
  <si>
    <t>Nelle relazioni più strette, tendo a mettere i bisogni dell'altro prima dei miei.</t>
  </si>
  <si>
    <t>TEST DELL'ENNEAGRAMMA — Versione revisionata a 162 domande</t>
  </si>
  <si>
    <t>Origine di questo questionario</t>
  </si>
  <si>
    <t>Le 162 domande (18 per ciascuno dei 9 tipi) sono organizzate in 6 faccette omogenee per ogni tipo: Motivazione, Paura, Strategia, Relazioni, Pressione e Approfondimento. Le tre domande di Approfondimento sostituiscono le precedenti domande sulle «Frecce» e sono state formulate per aumentare la capacità di distinguere il tipo e offrire spunti utili al colloquio.</t>
  </si>
  <si>
    <t>Scopo</t>
  </si>
  <si>
    <t>Individuare il tipo di personalità prevalente secondo l'Enneagramma (tipi 1-9) e offrire una base strutturata per discutere il risultato con la persona che compila il questionario.</t>
  </si>
  <si>
    <t>Come si svolge</t>
  </si>
  <si>
    <t>1. Compila il foglio «Test»: per ciascuna delle 162 domande scegli SI o NO dal menu a tendina, in base a come ti comporti abitualmente (non come vorresti essere).</t>
  </si>
  <si>
    <t>2. Non ci sono risposte giuste o sbagliate: rispondi con la prima impressione. Concludi in una o due sedute.</t>
  </si>
  <si>
    <t>3. I punteggi si calcolano automaticamente nel foglio «Punteggi» man mano che inserisci le risposte.</t>
  </si>
  <si>
    <t>Le 6 faccette</t>
  </si>
  <si>
    <t>• Motivazione — il desiderio di fondo che orienta le scelte del tipo.</t>
  </si>
  <si>
    <t>• Paura — la paura o preoccupazione centrale che il tipo cerca di evitare.</t>
  </si>
  <si>
    <t>• Strategia — il modo abituale in cui il tipo agisce per ottenere ciò che gli serve.</t>
  </si>
  <si>
    <t>• Relazioni — come il tipo si comporta nei legami e nei rapporti con gli altri.</t>
  </si>
  <si>
    <t>• Pressione — le reazioni tipiche quando il tipo è sotto stress o affaticamento.</t>
  </si>
  <si>
    <t>• Approfondimento — tre domande aggiuntive pensate per aumentare la capacità di distinguere il tipo e far emergere aspetti utili alla discussione.</t>
  </si>
  <si>
    <t>Come leggere il risultato</t>
  </si>
  <si>
    <t>• Nel foglio «Punteggi», il tipo con il punteggio totale più alto è il tipo principale. Il secondo punteggio più alto indica il «tipo secondario» (non necessariamente adiacente al principale). Le «ali» sono invece un concetto teorico fisso: sono sempre e solo i due tipi numericamente adiacenti al tipo principale (es. le ali del Tipo 4 sono il Tipo 3 e il Tipo 5); il foglio le calcola separatamente, a prescindere dal loro punteggio.</t>
  </si>
  <si>
    <t>• Le 6 colonne di faccette (0-3 per faccetta) mostrano su quali versanti il tipo si esprime di più. Un punteggio alto in Approfondimento non va interpretato separatamente: serve soprattutto come ulteriore elemento di confronto nel colloquio.</t>
  </si>
  <si>
    <t>• Nel foglio «Interpretazione» trovi, per ciascun tipo, desiderio e paura di fondo e indicazioni generali per discutere il risultato con la persona.</t>
  </si>
  <si>
    <t>Note e limiti</t>
  </si>
  <si>
    <t>Questo è uno strumento di auto-conoscenza per facilitare una conversazione, non un test clinico né diagnostico. I risultati dipendono dall'onestà delle risposte e vanno trattati come ipotesi di lavoro da approfondire nel colloquio, non come un'etichetta definitiva.</t>
  </si>
  <si>
    <t>NO</t>
  </si>
  <si>
    <t>RISPOSTA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</si>
</sst>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2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1" fillId="0" borderId="0" xfId="0" applyFont="1"/>
    <xf numFmtId="0" fontId="4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/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3"/>
  <sheetViews>
    <sheetView tabSelected="1" zoomScaleNormal="100" workbookViewId="0">
      <pane ySplit="1" topLeftCell="A2" activePane="bottomLeft" state="frozen"/>
      <selection pane="bottomLeft" activeCell="E1" sqref="E1:F1048576"/>
    </sheetView>
  </sheetViews>
  <sheetFormatPr defaultColWidth="8.7109375" defaultRowHeight="15" x14ac:dyDescent="0.25"/>
  <cols>
    <col min="1" max="1" width="18.42578125" customWidth="1"/>
    <col min="2" max="2" width="26" customWidth="1"/>
    <col min="3" max="3" width="90" customWidth="1"/>
    <col min="4" max="4" width="14" hidden="1" customWidth="1"/>
    <col min="5" max="5" width="16.5703125" style="17" hidden="1" customWidth="1"/>
    <col min="6" max="6" width="36.140625" hidden="1" customWidth="1"/>
  </cols>
  <sheetData>
    <row r="1" spans="1:6" ht="15" customHeight="1" x14ac:dyDescent="0.25">
      <c r="A1" s="4" t="s">
        <v>47</v>
      </c>
      <c r="B1" s="4" t="s">
        <v>48</v>
      </c>
      <c r="C1" s="4" t="s">
        <v>49</v>
      </c>
      <c r="D1" s="4" t="s">
        <v>50</v>
      </c>
      <c r="E1" s="4" t="s">
        <v>262</v>
      </c>
      <c r="F1" s="4" t="s">
        <v>51</v>
      </c>
    </row>
    <row r="2" spans="1:6" ht="15" customHeight="1" x14ac:dyDescent="0.25">
      <c r="A2" s="6">
        <v>3</v>
      </c>
      <c r="B2" s="5" t="s">
        <v>52</v>
      </c>
      <c r="C2" s="6" t="s">
        <v>53</v>
      </c>
      <c r="D2" s="5" t="s">
        <v>54</v>
      </c>
      <c r="E2" s="9" t="s">
        <v>55</v>
      </c>
      <c r="F2" t="s">
        <v>56</v>
      </c>
    </row>
    <row r="3" spans="1:6" ht="26.25" customHeight="1" x14ac:dyDescent="0.25">
      <c r="A3" s="6">
        <v>1</v>
      </c>
      <c r="B3" s="5" t="s">
        <v>57</v>
      </c>
      <c r="C3" s="6" t="s">
        <v>58</v>
      </c>
      <c r="D3" s="5" t="s">
        <v>59</v>
      </c>
      <c r="E3" s="9"/>
      <c r="F3" t="s">
        <v>60</v>
      </c>
    </row>
    <row r="4" spans="1:6" ht="26.25" customHeight="1" x14ac:dyDescent="0.25">
      <c r="A4" s="6">
        <v>6</v>
      </c>
      <c r="B4" s="5" t="s">
        <v>61</v>
      </c>
      <c r="C4" s="6" t="s">
        <v>62</v>
      </c>
      <c r="D4" s="5" t="s">
        <v>63</v>
      </c>
      <c r="E4" s="9"/>
      <c r="F4" t="s">
        <v>64</v>
      </c>
    </row>
    <row r="5" spans="1:6" ht="15" customHeight="1" x14ac:dyDescent="0.25">
      <c r="A5" s="6">
        <v>6</v>
      </c>
      <c r="B5" s="5" t="s">
        <v>61</v>
      </c>
      <c r="C5" s="6" t="s">
        <v>65</v>
      </c>
      <c r="D5" s="5" t="s">
        <v>66</v>
      </c>
      <c r="E5" s="9"/>
      <c r="F5" t="s">
        <v>67</v>
      </c>
    </row>
    <row r="6" spans="1:6" ht="15" customHeight="1" x14ac:dyDescent="0.25">
      <c r="A6" s="6">
        <v>5</v>
      </c>
      <c r="B6" s="5" t="s">
        <v>68</v>
      </c>
      <c r="C6" s="6" t="s">
        <v>69</v>
      </c>
      <c r="D6" s="5" t="s">
        <v>66</v>
      </c>
      <c r="E6" s="9"/>
      <c r="F6" t="s">
        <v>67</v>
      </c>
    </row>
    <row r="7" spans="1:6" ht="15" customHeight="1" x14ac:dyDescent="0.25">
      <c r="A7" s="6">
        <v>7</v>
      </c>
      <c r="B7" s="5" t="s">
        <v>70</v>
      </c>
      <c r="C7" s="6" t="s">
        <v>71</v>
      </c>
      <c r="D7" s="5" t="s">
        <v>59</v>
      </c>
      <c r="E7" s="9"/>
      <c r="F7" t="s">
        <v>60</v>
      </c>
    </row>
    <row r="8" spans="1:6" ht="15" customHeight="1" x14ac:dyDescent="0.25">
      <c r="A8" s="6">
        <v>4</v>
      </c>
      <c r="B8" s="5" t="s">
        <v>72</v>
      </c>
      <c r="C8" s="6" t="s">
        <v>73</v>
      </c>
      <c r="D8" s="5" t="s">
        <v>66</v>
      </c>
      <c r="E8" s="9"/>
      <c r="F8" t="s">
        <v>74</v>
      </c>
    </row>
    <row r="9" spans="1:6" ht="15" customHeight="1" x14ac:dyDescent="0.25">
      <c r="A9" s="6">
        <v>2</v>
      </c>
      <c r="B9" s="5" t="s">
        <v>75</v>
      </c>
      <c r="C9" s="6" t="s">
        <v>76</v>
      </c>
      <c r="D9" s="5" t="s">
        <v>77</v>
      </c>
      <c r="E9" s="9"/>
      <c r="F9" t="s">
        <v>78</v>
      </c>
    </row>
    <row r="10" spans="1:6" ht="15" customHeight="1" x14ac:dyDescent="0.25">
      <c r="A10" s="6">
        <v>2</v>
      </c>
      <c r="B10" s="5" t="s">
        <v>75</v>
      </c>
      <c r="C10" s="6" t="s">
        <v>79</v>
      </c>
      <c r="D10" s="5" t="s">
        <v>66</v>
      </c>
      <c r="E10" s="9"/>
      <c r="F10" t="s">
        <v>67</v>
      </c>
    </row>
    <row r="11" spans="1:6" ht="15" customHeight="1" x14ac:dyDescent="0.25">
      <c r="A11" s="6">
        <v>9</v>
      </c>
      <c r="B11" s="5" t="s">
        <v>80</v>
      </c>
      <c r="C11" s="6" t="s">
        <v>81</v>
      </c>
      <c r="D11" s="5" t="s">
        <v>59</v>
      </c>
      <c r="E11" s="9"/>
      <c r="F11" t="s">
        <v>82</v>
      </c>
    </row>
    <row r="12" spans="1:6" ht="15" customHeight="1" x14ac:dyDescent="0.25">
      <c r="A12" s="6">
        <v>8</v>
      </c>
      <c r="B12" s="5" t="s">
        <v>83</v>
      </c>
      <c r="C12" s="6" t="s">
        <v>84</v>
      </c>
      <c r="D12" s="5" t="s">
        <v>59</v>
      </c>
      <c r="E12" s="9"/>
      <c r="F12" t="s">
        <v>60</v>
      </c>
    </row>
    <row r="13" spans="1:6" ht="15" customHeight="1" x14ac:dyDescent="0.25">
      <c r="A13" s="6">
        <v>5</v>
      </c>
      <c r="B13" s="5" t="s">
        <v>68</v>
      </c>
      <c r="C13" s="6" t="s">
        <v>85</v>
      </c>
      <c r="D13" s="5" t="s">
        <v>66</v>
      </c>
      <c r="E13" s="9"/>
      <c r="F13" t="s">
        <v>78</v>
      </c>
    </row>
    <row r="14" spans="1:6" ht="15" customHeight="1" x14ac:dyDescent="0.25">
      <c r="A14" s="6">
        <v>3</v>
      </c>
      <c r="B14" s="5" t="s">
        <v>52</v>
      </c>
      <c r="C14" s="6" t="s">
        <v>86</v>
      </c>
      <c r="D14" s="5" t="s">
        <v>59</v>
      </c>
      <c r="E14" s="9"/>
      <c r="F14" t="s">
        <v>78</v>
      </c>
    </row>
    <row r="15" spans="1:6" ht="15" customHeight="1" x14ac:dyDescent="0.25">
      <c r="A15" s="6">
        <v>9</v>
      </c>
      <c r="B15" s="5" t="s">
        <v>80</v>
      </c>
      <c r="C15" s="6" t="s">
        <v>87</v>
      </c>
      <c r="D15" s="5" t="s">
        <v>88</v>
      </c>
      <c r="E15" s="9"/>
      <c r="F15" t="s">
        <v>89</v>
      </c>
    </row>
    <row r="16" spans="1:6" ht="15" customHeight="1" x14ac:dyDescent="0.25">
      <c r="A16" s="6">
        <v>4</v>
      </c>
      <c r="B16" s="5" t="s">
        <v>72</v>
      </c>
      <c r="C16" s="6" t="s">
        <v>90</v>
      </c>
      <c r="D16" s="5" t="s">
        <v>63</v>
      </c>
      <c r="E16" s="9"/>
      <c r="F16" t="s">
        <v>64</v>
      </c>
    </row>
    <row r="17" spans="1:6" ht="26.25" customHeight="1" x14ac:dyDescent="0.25">
      <c r="A17" s="6">
        <v>8</v>
      </c>
      <c r="B17" s="5" t="s">
        <v>83</v>
      </c>
      <c r="C17" s="6" t="s">
        <v>91</v>
      </c>
      <c r="D17" s="5" t="s">
        <v>54</v>
      </c>
      <c r="E17" s="9"/>
      <c r="F17" t="s">
        <v>56</v>
      </c>
    </row>
    <row r="18" spans="1:6" ht="26.25" customHeight="1" x14ac:dyDescent="0.25">
      <c r="A18" s="6">
        <v>7</v>
      </c>
      <c r="B18" s="5" t="s">
        <v>70</v>
      </c>
      <c r="C18" s="6" t="s">
        <v>92</v>
      </c>
      <c r="D18" s="5" t="s">
        <v>66</v>
      </c>
      <c r="E18" s="9"/>
      <c r="F18" t="s">
        <v>74</v>
      </c>
    </row>
    <row r="19" spans="1:6" ht="26.25" customHeight="1" x14ac:dyDescent="0.25">
      <c r="A19" s="6">
        <v>1</v>
      </c>
      <c r="B19" s="5" t="s">
        <v>57</v>
      </c>
      <c r="C19" s="6" t="s">
        <v>93</v>
      </c>
      <c r="D19" s="5" t="s">
        <v>63</v>
      </c>
      <c r="E19" s="9" t="s">
        <v>261</v>
      </c>
      <c r="F19" t="s">
        <v>64</v>
      </c>
    </row>
    <row r="20" spans="1:6" ht="15" customHeight="1" x14ac:dyDescent="0.25">
      <c r="A20" s="6">
        <v>9</v>
      </c>
      <c r="B20" s="5" t="s">
        <v>80</v>
      </c>
      <c r="C20" s="6" t="s">
        <v>94</v>
      </c>
      <c r="D20" s="5" t="s">
        <v>54</v>
      </c>
      <c r="E20" s="9"/>
      <c r="F20" t="s">
        <v>56</v>
      </c>
    </row>
    <row r="21" spans="1:6" ht="15" customHeight="1" x14ac:dyDescent="0.25">
      <c r="A21" s="6">
        <v>4</v>
      </c>
      <c r="B21" s="5" t="s">
        <v>72</v>
      </c>
      <c r="C21" s="6" t="s">
        <v>95</v>
      </c>
      <c r="D21" s="5" t="s">
        <v>63</v>
      </c>
      <c r="E21" s="9"/>
      <c r="F21" t="s">
        <v>67</v>
      </c>
    </row>
    <row r="22" spans="1:6" ht="15" customHeight="1" x14ac:dyDescent="0.25">
      <c r="A22" s="6">
        <v>4</v>
      </c>
      <c r="B22" s="5" t="s">
        <v>72</v>
      </c>
      <c r="C22" s="6" t="s">
        <v>96</v>
      </c>
      <c r="D22" s="5" t="s">
        <v>88</v>
      </c>
      <c r="E22" s="9"/>
      <c r="F22" t="s">
        <v>89</v>
      </c>
    </row>
    <row r="23" spans="1:6" ht="26.25" customHeight="1" x14ac:dyDescent="0.25">
      <c r="A23" s="6">
        <v>1</v>
      </c>
      <c r="B23" s="5" t="s">
        <v>57</v>
      </c>
      <c r="C23" s="6" t="s">
        <v>97</v>
      </c>
      <c r="D23" s="5" t="s">
        <v>66</v>
      </c>
      <c r="E23" s="9"/>
      <c r="F23" t="s">
        <v>67</v>
      </c>
    </row>
    <row r="24" spans="1:6" ht="15" customHeight="1" x14ac:dyDescent="0.25">
      <c r="A24" s="6">
        <v>3</v>
      </c>
      <c r="B24" s="5" t="s">
        <v>52</v>
      </c>
      <c r="C24" s="6" t="s">
        <v>98</v>
      </c>
      <c r="D24" s="5" t="s">
        <v>88</v>
      </c>
      <c r="E24" s="9"/>
      <c r="F24" t="s">
        <v>89</v>
      </c>
    </row>
    <row r="25" spans="1:6" ht="26.25" customHeight="1" x14ac:dyDescent="0.25">
      <c r="A25" s="6">
        <v>2</v>
      </c>
      <c r="B25" s="5" t="s">
        <v>75</v>
      </c>
      <c r="C25" s="6" t="s">
        <v>99</v>
      </c>
      <c r="D25" s="5" t="s">
        <v>54</v>
      </c>
      <c r="E25" s="9" t="s">
        <v>55</v>
      </c>
      <c r="F25" t="s">
        <v>56</v>
      </c>
    </row>
    <row r="26" spans="1:6" ht="15" customHeight="1" x14ac:dyDescent="0.25">
      <c r="A26" s="6">
        <v>2</v>
      </c>
      <c r="B26" s="5" t="s">
        <v>75</v>
      </c>
      <c r="C26" s="6" t="s">
        <v>100</v>
      </c>
      <c r="D26" s="5" t="s">
        <v>59</v>
      </c>
      <c r="E26" s="9"/>
      <c r="F26" t="s">
        <v>60</v>
      </c>
    </row>
    <row r="27" spans="1:6" ht="15" customHeight="1" x14ac:dyDescent="0.25">
      <c r="A27" s="6">
        <v>5</v>
      </c>
      <c r="B27" s="5" t="s">
        <v>68</v>
      </c>
      <c r="C27" s="6" t="s">
        <v>101</v>
      </c>
      <c r="D27" s="5" t="s">
        <v>63</v>
      </c>
      <c r="E27" s="9"/>
      <c r="F27" t="s">
        <v>64</v>
      </c>
    </row>
    <row r="28" spans="1:6" ht="15" customHeight="1" x14ac:dyDescent="0.25">
      <c r="A28" s="6">
        <v>6</v>
      </c>
      <c r="B28" s="5" t="s">
        <v>61</v>
      </c>
      <c r="C28" s="6" t="s">
        <v>102</v>
      </c>
      <c r="D28" s="5" t="s">
        <v>77</v>
      </c>
      <c r="E28" s="9"/>
      <c r="F28" t="s">
        <v>103</v>
      </c>
    </row>
    <row r="29" spans="1:6" ht="15" customHeight="1" x14ac:dyDescent="0.25">
      <c r="A29" s="6">
        <v>7</v>
      </c>
      <c r="B29" s="5" t="s">
        <v>70</v>
      </c>
      <c r="C29" s="6" t="s">
        <v>104</v>
      </c>
      <c r="D29" s="5" t="s">
        <v>66</v>
      </c>
      <c r="E29" s="9"/>
      <c r="F29" t="s">
        <v>103</v>
      </c>
    </row>
    <row r="30" spans="1:6" ht="26.25" customHeight="1" x14ac:dyDescent="0.25">
      <c r="A30" s="6">
        <v>8</v>
      </c>
      <c r="B30" s="5" t="s">
        <v>83</v>
      </c>
      <c r="C30" s="6" t="s">
        <v>105</v>
      </c>
      <c r="D30" s="5" t="s">
        <v>63</v>
      </c>
      <c r="E30" s="9"/>
      <c r="F30" t="s">
        <v>64</v>
      </c>
    </row>
    <row r="31" spans="1:6" ht="26.25" customHeight="1" x14ac:dyDescent="0.25">
      <c r="A31" s="6">
        <v>3</v>
      </c>
      <c r="B31" s="5" t="s">
        <v>52</v>
      </c>
      <c r="C31" s="6" t="s">
        <v>106</v>
      </c>
      <c r="D31" s="5" t="s">
        <v>54</v>
      </c>
      <c r="E31" s="9"/>
      <c r="F31" t="s">
        <v>103</v>
      </c>
    </row>
    <row r="32" spans="1:6" ht="15" customHeight="1" x14ac:dyDescent="0.25">
      <c r="A32" s="6">
        <v>9</v>
      </c>
      <c r="B32" s="5" t="s">
        <v>80</v>
      </c>
      <c r="C32" s="6" t="s">
        <v>107</v>
      </c>
      <c r="D32" s="5" t="s">
        <v>63</v>
      </c>
      <c r="E32" s="9"/>
      <c r="F32" t="s">
        <v>89</v>
      </c>
    </row>
    <row r="33" spans="1:6" ht="26.25" customHeight="1" x14ac:dyDescent="0.25">
      <c r="A33" s="6">
        <v>8</v>
      </c>
      <c r="B33" s="5" t="s">
        <v>83</v>
      </c>
      <c r="C33" s="6" t="s">
        <v>108</v>
      </c>
      <c r="D33" s="5" t="s">
        <v>66</v>
      </c>
      <c r="E33" s="9"/>
      <c r="F33" t="s">
        <v>67</v>
      </c>
    </row>
    <row r="34" spans="1:6" ht="15" customHeight="1" x14ac:dyDescent="0.25">
      <c r="A34" s="6">
        <v>5</v>
      </c>
      <c r="B34" s="5" t="s">
        <v>68</v>
      </c>
      <c r="C34" s="6" t="s">
        <v>109</v>
      </c>
      <c r="D34" s="5" t="s">
        <v>88</v>
      </c>
      <c r="E34" s="9"/>
      <c r="F34" t="s">
        <v>74</v>
      </c>
    </row>
    <row r="35" spans="1:6" ht="26.25" customHeight="1" x14ac:dyDescent="0.25">
      <c r="A35" s="6">
        <v>6</v>
      </c>
      <c r="B35" s="5" t="s">
        <v>61</v>
      </c>
      <c r="C35" s="6" t="s">
        <v>110</v>
      </c>
      <c r="D35" s="5" t="s">
        <v>54</v>
      </c>
      <c r="E35" s="9"/>
      <c r="F35" t="s">
        <v>56</v>
      </c>
    </row>
    <row r="36" spans="1:6" ht="26.25" customHeight="1" x14ac:dyDescent="0.25">
      <c r="A36" s="6">
        <v>1</v>
      </c>
      <c r="B36" s="5" t="s">
        <v>57</v>
      </c>
      <c r="C36" s="6" t="s">
        <v>111</v>
      </c>
      <c r="D36" s="5" t="s">
        <v>77</v>
      </c>
      <c r="E36" s="9"/>
      <c r="F36" t="s">
        <v>74</v>
      </c>
    </row>
    <row r="37" spans="1:6" ht="26.25" customHeight="1" x14ac:dyDescent="0.25">
      <c r="A37" s="6">
        <v>7</v>
      </c>
      <c r="B37" s="5" t="s">
        <v>70</v>
      </c>
      <c r="C37" s="6" t="s">
        <v>112</v>
      </c>
      <c r="D37" s="5" t="s">
        <v>88</v>
      </c>
      <c r="E37" s="9"/>
      <c r="F37" t="s">
        <v>89</v>
      </c>
    </row>
    <row r="38" spans="1:6" ht="15" customHeight="1" x14ac:dyDescent="0.25">
      <c r="A38" s="6">
        <v>9</v>
      </c>
      <c r="B38" s="5" t="s">
        <v>80</v>
      </c>
      <c r="C38" s="6" t="s">
        <v>113</v>
      </c>
      <c r="D38" s="5" t="s">
        <v>66</v>
      </c>
      <c r="E38" s="9"/>
      <c r="F38" t="s">
        <v>67</v>
      </c>
    </row>
    <row r="39" spans="1:6" ht="15" customHeight="1" x14ac:dyDescent="0.25">
      <c r="A39" s="6">
        <v>1</v>
      </c>
      <c r="B39" s="5" t="s">
        <v>57</v>
      </c>
      <c r="C39" s="6" t="s">
        <v>114</v>
      </c>
      <c r="D39" s="5" t="s">
        <v>77</v>
      </c>
      <c r="E39" s="9"/>
      <c r="F39" t="s">
        <v>56</v>
      </c>
    </row>
    <row r="40" spans="1:6" ht="15" customHeight="1" x14ac:dyDescent="0.25">
      <c r="A40" s="6">
        <v>7</v>
      </c>
      <c r="B40" s="5" t="s">
        <v>70</v>
      </c>
      <c r="C40" s="6" t="s">
        <v>115</v>
      </c>
      <c r="D40" s="5" t="s">
        <v>88</v>
      </c>
      <c r="E40" s="9" t="s">
        <v>55</v>
      </c>
      <c r="F40" t="s">
        <v>74</v>
      </c>
    </row>
    <row r="41" spans="1:6" ht="15" customHeight="1" x14ac:dyDescent="0.25">
      <c r="A41" s="6">
        <v>7</v>
      </c>
      <c r="B41" s="5" t="s">
        <v>70</v>
      </c>
      <c r="C41" s="6" t="s">
        <v>116</v>
      </c>
      <c r="D41" s="5" t="s">
        <v>66</v>
      </c>
      <c r="E41" s="9"/>
      <c r="F41" t="s">
        <v>67</v>
      </c>
    </row>
    <row r="42" spans="1:6" ht="15" customHeight="1" x14ac:dyDescent="0.25">
      <c r="A42" s="6">
        <v>5</v>
      </c>
      <c r="B42" s="5" t="s">
        <v>68</v>
      </c>
      <c r="C42" s="6" t="s">
        <v>117</v>
      </c>
      <c r="D42" s="5" t="s">
        <v>88</v>
      </c>
      <c r="E42" s="9" t="s">
        <v>55</v>
      </c>
      <c r="F42" t="s">
        <v>89</v>
      </c>
    </row>
    <row r="43" spans="1:6" ht="15" customHeight="1" x14ac:dyDescent="0.25">
      <c r="A43" s="6">
        <v>2</v>
      </c>
      <c r="B43" s="5" t="s">
        <v>75</v>
      </c>
      <c r="C43" s="6" t="s">
        <v>118</v>
      </c>
      <c r="D43" s="5" t="s">
        <v>66</v>
      </c>
      <c r="E43" s="9" t="s">
        <v>55</v>
      </c>
      <c r="F43" t="s">
        <v>89</v>
      </c>
    </row>
    <row r="44" spans="1:6" ht="15" customHeight="1" x14ac:dyDescent="0.25">
      <c r="A44" s="6">
        <v>4</v>
      </c>
      <c r="B44" s="5" t="s">
        <v>72</v>
      </c>
      <c r="C44" s="6" t="s">
        <v>119</v>
      </c>
      <c r="D44" s="5" t="s">
        <v>59</v>
      </c>
      <c r="E44" s="9"/>
      <c r="F44" t="s">
        <v>60</v>
      </c>
    </row>
    <row r="45" spans="1:6" ht="15" customHeight="1" x14ac:dyDescent="0.25">
      <c r="A45" s="6">
        <v>3</v>
      </c>
      <c r="B45" s="5" t="s">
        <v>52</v>
      </c>
      <c r="C45" s="6" t="s">
        <v>120</v>
      </c>
      <c r="D45" s="5" t="s">
        <v>59</v>
      </c>
      <c r="E45" s="9"/>
      <c r="F45" t="s">
        <v>60</v>
      </c>
    </row>
    <row r="46" spans="1:6" ht="15" customHeight="1" x14ac:dyDescent="0.25">
      <c r="A46" s="6">
        <v>8</v>
      </c>
      <c r="B46" s="5" t="s">
        <v>83</v>
      </c>
      <c r="C46" s="6" t="s">
        <v>121</v>
      </c>
      <c r="D46" s="5" t="s">
        <v>77</v>
      </c>
      <c r="E46" s="9"/>
      <c r="F46" t="s">
        <v>78</v>
      </c>
    </row>
    <row r="47" spans="1:6" ht="15" customHeight="1" x14ac:dyDescent="0.25">
      <c r="A47" s="6">
        <v>6</v>
      </c>
      <c r="B47" s="5" t="s">
        <v>61</v>
      </c>
      <c r="C47" s="6" t="s">
        <v>122</v>
      </c>
      <c r="D47" s="5" t="s">
        <v>59</v>
      </c>
      <c r="E47" s="9"/>
      <c r="F47" t="s">
        <v>60</v>
      </c>
    </row>
    <row r="48" spans="1:6" ht="26.25" customHeight="1" x14ac:dyDescent="0.25">
      <c r="A48" s="6">
        <v>9</v>
      </c>
      <c r="B48" s="5" t="s">
        <v>80</v>
      </c>
      <c r="C48" s="6" t="s">
        <v>123</v>
      </c>
      <c r="D48" s="5" t="s">
        <v>63</v>
      </c>
      <c r="E48" s="9"/>
      <c r="F48" t="s">
        <v>64</v>
      </c>
    </row>
    <row r="49" spans="1:6" ht="26.25" customHeight="1" x14ac:dyDescent="0.25">
      <c r="A49" s="6">
        <v>1</v>
      </c>
      <c r="B49" s="5" t="s">
        <v>57</v>
      </c>
      <c r="C49" s="6" t="s">
        <v>124</v>
      </c>
      <c r="D49" s="5" t="s">
        <v>63</v>
      </c>
      <c r="E49" s="9"/>
      <c r="F49" t="s">
        <v>64</v>
      </c>
    </row>
    <row r="50" spans="1:6" ht="15" customHeight="1" x14ac:dyDescent="0.25">
      <c r="A50" s="6">
        <v>1</v>
      </c>
      <c r="B50" s="5" t="s">
        <v>57</v>
      </c>
      <c r="C50" s="6" t="s">
        <v>125</v>
      </c>
      <c r="D50" s="5" t="s">
        <v>88</v>
      </c>
      <c r="E50" s="9"/>
      <c r="F50" t="s">
        <v>89</v>
      </c>
    </row>
    <row r="51" spans="1:6" ht="15" customHeight="1" x14ac:dyDescent="0.25">
      <c r="A51" s="6">
        <v>6</v>
      </c>
      <c r="B51" s="5" t="s">
        <v>61</v>
      </c>
      <c r="C51" s="6" t="s">
        <v>126</v>
      </c>
      <c r="D51" s="5" t="s">
        <v>66</v>
      </c>
      <c r="E51" s="9"/>
      <c r="F51" t="s">
        <v>82</v>
      </c>
    </row>
    <row r="52" spans="1:6" ht="26.25" customHeight="1" x14ac:dyDescent="0.25">
      <c r="A52" s="6">
        <v>2</v>
      </c>
      <c r="B52" s="5" t="s">
        <v>75</v>
      </c>
      <c r="C52" s="6" t="s">
        <v>127</v>
      </c>
      <c r="D52" s="5" t="s">
        <v>88</v>
      </c>
      <c r="E52" s="9"/>
      <c r="F52" t="s">
        <v>67</v>
      </c>
    </row>
    <row r="53" spans="1:6" ht="26.25" customHeight="1" x14ac:dyDescent="0.25">
      <c r="A53" s="6">
        <v>4</v>
      </c>
      <c r="B53" s="5" t="s">
        <v>72</v>
      </c>
      <c r="C53" s="6" t="s">
        <v>128</v>
      </c>
      <c r="D53" s="5" t="s">
        <v>54</v>
      </c>
      <c r="E53" s="9"/>
      <c r="F53" t="s">
        <v>56</v>
      </c>
    </row>
    <row r="54" spans="1:6" ht="26.25" customHeight="1" x14ac:dyDescent="0.25">
      <c r="A54" s="6">
        <v>5</v>
      </c>
      <c r="B54" s="5" t="s">
        <v>68</v>
      </c>
      <c r="C54" s="6" t="s">
        <v>129</v>
      </c>
      <c r="D54" s="5" t="s">
        <v>77</v>
      </c>
      <c r="E54" s="9"/>
      <c r="F54" t="s">
        <v>78</v>
      </c>
    </row>
    <row r="55" spans="1:6" ht="15" customHeight="1" x14ac:dyDescent="0.25">
      <c r="A55" s="6">
        <v>8</v>
      </c>
      <c r="B55" s="5" t="s">
        <v>83</v>
      </c>
      <c r="C55" s="6" t="s">
        <v>130</v>
      </c>
      <c r="D55" s="5" t="s">
        <v>88</v>
      </c>
      <c r="E55" s="9"/>
      <c r="F55" t="s">
        <v>74</v>
      </c>
    </row>
    <row r="56" spans="1:6" ht="15" customHeight="1" x14ac:dyDescent="0.25">
      <c r="A56" s="6">
        <v>3</v>
      </c>
      <c r="B56" s="5" t="s">
        <v>52</v>
      </c>
      <c r="C56" s="6" t="s">
        <v>131</v>
      </c>
      <c r="D56" s="5" t="s">
        <v>88</v>
      </c>
      <c r="E56" s="9"/>
      <c r="F56" t="s">
        <v>89</v>
      </c>
    </row>
    <row r="57" spans="1:6" ht="15" customHeight="1" x14ac:dyDescent="0.25">
      <c r="A57" s="6">
        <v>6</v>
      </c>
      <c r="B57" s="5" t="s">
        <v>61</v>
      </c>
      <c r="C57" s="6" t="s">
        <v>132</v>
      </c>
      <c r="D57" s="5" t="s">
        <v>59</v>
      </c>
      <c r="E57" s="9"/>
      <c r="F57" t="s">
        <v>60</v>
      </c>
    </row>
    <row r="58" spans="1:6" ht="15" customHeight="1" x14ac:dyDescent="0.25">
      <c r="A58" s="6">
        <v>9</v>
      </c>
      <c r="B58" s="5" t="s">
        <v>80</v>
      </c>
      <c r="C58" s="6" t="s">
        <v>133</v>
      </c>
      <c r="D58" s="5" t="s">
        <v>88</v>
      </c>
      <c r="E58" s="9"/>
      <c r="F58" t="s">
        <v>74</v>
      </c>
    </row>
    <row r="59" spans="1:6" ht="26.25" customHeight="1" x14ac:dyDescent="0.25">
      <c r="A59" s="6">
        <v>4</v>
      </c>
      <c r="B59" s="5" t="s">
        <v>72</v>
      </c>
      <c r="C59" s="6" t="s">
        <v>134</v>
      </c>
      <c r="D59" s="5" t="s">
        <v>59</v>
      </c>
      <c r="E59" s="9"/>
      <c r="F59" t="s">
        <v>60</v>
      </c>
    </row>
    <row r="60" spans="1:6" ht="15" customHeight="1" x14ac:dyDescent="0.25">
      <c r="A60" s="6">
        <v>8</v>
      </c>
      <c r="B60" s="5" t="s">
        <v>83</v>
      </c>
      <c r="C60" s="6" t="s">
        <v>135</v>
      </c>
      <c r="D60" s="5" t="s">
        <v>66</v>
      </c>
      <c r="E60" s="9"/>
      <c r="F60" t="s">
        <v>64</v>
      </c>
    </row>
    <row r="61" spans="1:6" ht="26.25" customHeight="1" x14ac:dyDescent="0.25">
      <c r="A61" s="6">
        <v>7</v>
      </c>
      <c r="B61" s="5" t="s">
        <v>70</v>
      </c>
      <c r="C61" s="6" t="s">
        <v>136</v>
      </c>
      <c r="D61" s="5" t="s">
        <v>54</v>
      </c>
      <c r="E61" s="9"/>
      <c r="F61" t="s">
        <v>56</v>
      </c>
    </row>
    <row r="62" spans="1:6" ht="15" customHeight="1" x14ac:dyDescent="0.25">
      <c r="A62" s="6">
        <v>3</v>
      </c>
      <c r="B62" s="5" t="s">
        <v>52</v>
      </c>
      <c r="C62" s="6" t="s">
        <v>137</v>
      </c>
      <c r="D62" s="5" t="s">
        <v>59</v>
      </c>
      <c r="E62" s="9"/>
      <c r="F62" t="s">
        <v>103</v>
      </c>
    </row>
    <row r="63" spans="1:6" ht="26.25" customHeight="1" x14ac:dyDescent="0.25">
      <c r="A63" s="6">
        <v>2</v>
      </c>
      <c r="B63" s="5" t="s">
        <v>75</v>
      </c>
      <c r="C63" s="6" t="s">
        <v>138</v>
      </c>
      <c r="D63" s="5" t="s">
        <v>59</v>
      </c>
      <c r="E63" s="9"/>
      <c r="F63" t="s">
        <v>60</v>
      </c>
    </row>
    <row r="64" spans="1:6" ht="15" customHeight="1" x14ac:dyDescent="0.25">
      <c r="A64" s="6">
        <v>5</v>
      </c>
      <c r="B64" s="5" t="s">
        <v>68</v>
      </c>
      <c r="C64" s="6" t="s">
        <v>139</v>
      </c>
      <c r="D64" s="5" t="s">
        <v>77</v>
      </c>
      <c r="E64" s="9"/>
      <c r="F64" t="s">
        <v>67</v>
      </c>
    </row>
    <row r="65" spans="1:6" ht="15" customHeight="1" x14ac:dyDescent="0.25">
      <c r="A65" s="6">
        <v>1</v>
      </c>
      <c r="B65" s="5" t="s">
        <v>57</v>
      </c>
      <c r="C65" s="6" t="s">
        <v>140</v>
      </c>
      <c r="D65" s="5" t="s">
        <v>63</v>
      </c>
      <c r="E65" s="9"/>
      <c r="F65" t="s">
        <v>82</v>
      </c>
    </row>
    <row r="66" spans="1:6" ht="15" customHeight="1" x14ac:dyDescent="0.25">
      <c r="A66" s="6">
        <v>1</v>
      </c>
      <c r="B66" s="5" t="s">
        <v>57</v>
      </c>
      <c r="C66" s="6" t="s">
        <v>141</v>
      </c>
      <c r="D66" s="5" t="s">
        <v>77</v>
      </c>
      <c r="E66" s="9"/>
      <c r="F66" t="s">
        <v>78</v>
      </c>
    </row>
    <row r="67" spans="1:6" ht="26.25" customHeight="1" x14ac:dyDescent="0.25">
      <c r="A67" s="6">
        <v>9</v>
      </c>
      <c r="B67" s="5" t="s">
        <v>80</v>
      </c>
      <c r="C67" s="6" t="s">
        <v>142</v>
      </c>
      <c r="D67" s="5" t="s">
        <v>59</v>
      </c>
      <c r="E67" s="9"/>
      <c r="F67" t="s">
        <v>60</v>
      </c>
    </row>
    <row r="68" spans="1:6" ht="26.25" customHeight="1" x14ac:dyDescent="0.25">
      <c r="A68" s="6">
        <v>8</v>
      </c>
      <c r="B68" s="5" t="s">
        <v>83</v>
      </c>
      <c r="C68" s="6" t="s">
        <v>143</v>
      </c>
      <c r="D68" s="5" t="s">
        <v>66</v>
      </c>
      <c r="E68" s="9"/>
      <c r="F68" t="s">
        <v>82</v>
      </c>
    </row>
    <row r="69" spans="1:6" ht="15" customHeight="1" x14ac:dyDescent="0.25">
      <c r="A69" s="6">
        <v>2</v>
      </c>
      <c r="B69" s="5" t="s">
        <v>75</v>
      </c>
      <c r="C69" s="6" t="s">
        <v>144</v>
      </c>
      <c r="D69" s="5" t="s">
        <v>63</v>
      </c>
      <c r="E69" s="9"/>
      <c r="F69" t="s">
        <v>64</v>
      </c>
    </row>
    <row r="70" spans="1:6" ht="26.25" customHeight="1" x14ac:dyDescent="0.25">
      <c r="A70" s="6">
        <v>3</v>
      </c>
      <c r="B70" s="5" t="s">
        <v>52</v>
      </c>
      <c r="C70" s="6" t="s">
        <v>145</v>
      </c>
      <c r="D70" s="5" t="s">
        <v>63</v>
      </c>
      <c r="E70" s="9"/>
      <c r="F70" t="s">
        <v>64</v>
      </c>
    </row>
    <row r="71" spans="1:6" ht="26.25" customHeight="1" x14ac:dyDescent="0.25">
      <c r="A71" s="6">
        <v>4</v>
      </c>
      <c r="B71" s="5" t="s">
        <v>72</v>
      </c>
      <c r="C71" s="6" t="s">
        <v>146</v>
      </c>
      <c r="D71" s="5" t="s">
        <v>77</v>
      </c>
      <c r="E71" s="9"/>
      <c r="F71" t="s">
        <v>78</v>
      </c>
    </row>
    <row r="72" spans="1:6" ht="26.25" customHeight="1" x14ac:dyDescent="0.25">
      <c r="A72" s="6">
        <v>7</v>
      </c>
      <c r="B72" s="5" t="s">
        <v>70</v>
      </c>
      <c r="C72" s="6" t="s">
        <v>147</v>
      </c>
      <c r="D72" s="5" t="s">
        <v>54</v>
      </c>
      <c r="E72" s="9"/>
      <c r="F72" t="s">
        <v>56</v>
      </c>
    </row>
    <row r="73" spans="1:6" ht="26.25" customHeight="1" x14ac:dyDescent="0.25">
      <c r="A73" s="6">
        <v>6</v>
      </c>
      <c r="B73" s="5" t="s">
        <v>61</v>
      </c>
      <c r="C73" s="6" t="s">
        <v>148</v>
      </c>
      <c r="D73" s="5" t="s">
        <v>77</v>
      </c>
      <c r="E73" s="9"/>
      <c r="F73" t="s">
        <v>78</v>
      </c>
    </row>
    <row r="74" spans="1:6" ht="15" customHeight="1" x14ac:dyDescent="0.25">
      <c r="A74" s="6">
        <v>6</v>
      </c>
      <c r="B74" s="5" t="s">
        <v>61</v>
      </c>
      <c r="C74" s="6" t="s">
        <v>149</v>
      </c>
      <c r="D74" s="5" t="s">
        <v>59</v>
      </c>
      <c r="E74" s="9"/>
      <c r="F74" t="s">
        <v>103</v>
      </c>
    </row>
    <row r="75" spans="1:6" ht="15" customHeight="1" x14ac:dyDescent="0.25">
      <c r="A75" s="6">
        <v>5</v>
      </c>
      <c r="B75" s="5" t="s">
        <v>68</v>
      </c>
      <c r="C75" s="6" t="s">
        <v>150</v>
      </c>
      <c r="D75" s="5" t="s">
        <v>59</v>
      </c>
      <c r="E75" s="9"/>
      <c r="F75" t="s">
        <v>60</v>
      </c>
    </row>
    <row r="76" spans="1:6" ht="15" customHeight="1" x14ac:dyDescent="0.25">
      <c r="A76" s="6">
        <v>2</v>
      </c>
      <c r="B76" s="5" t="s">
        <v>75</v>
      </c>
      <c r="C76" s="6" t="s">
        <v>151</v>
      </c>
      <c r="D76" s="5" t="s">
        <v>63</v>
      </c>
      <c r="E76" s="9"/>
      <c r="F76" t="s">
        <v>64</v>
      </c>
    </row>
    <row r="77" spans="1:6" ht="26.25" customHeight="1" x14ac:dyDescent="0.25">
      <c r="A77" s="6">
        <v>7</v>
      </c>
      <c r="B77" s="5" t="s">
        <v>70</v>
      </c>
      <c r="C77" s="6" t="s">
        <v>152</v>
      </c>
      <c r="D77" s="5" t="s">
        <v>59</v>
      </c>
      <c r="E77" s="9"/>
      <c r="F77" t="s">
        <v>60</v>
      </c>
    </row>
    <row r="78" spans="1:6" ht="15" customHeight="1" x14ac:dyDescent="0.25">
      <c r="A78" s="6">
        <v>9</v>
      </c>
      <c r="B78" s="5" t="s">
        <v>80</v>
      </c>
      <c r="C78" s="6" t="s">
        <v>153</v>
      </c>
      <c r="D78" s="5" t="s">
        <v>66</v>
      </c>
      <c r="E78" s="9"/>
      <c r="F78" t="s">
        <v>74</v>
      </c>
    </row>
    <row r="79" spans="1:6" ht="26.25" customHeight="1" x14ac:dyDescent="0.25">
      <c r="A79" s="6">
        <v>5</v>
      </c>
      <c r="B79" s="5" t="s">
        <v>68</v>
      </c>
      <c r="C79" s="6" t="s">
        <v>154</v>
      </c>
      <c r="D79" s="5" t="s">
        <v>54</v>
      </c>
      <c r="E79" s="9"/>
      <c r="F79" t="s">
        <v>56</v>
      </c>
    </row>
    <row r="80" spans="1:6" ht="26.25" customHeight="1" x14ac:dyDescent="0.25">
      <c r="A80" s="6">
        <v>8</v>
      </c>
      <c r="B80" s="5" t="s">
        <v>83</v>
      </c>
      <c r="C80" s="6" t="s">
        <v>155</v>
      </c>
      <c r="D80" s="5" t="s">
        <v>59</v>
      </c>
      <c r="E80" s="9"/>
      <c r="F80" t="s">
        <v>60</v>
      </c>
    </row>
    <row r="81" spans="1:6" ht="15" customHeight="1" x14ac:dyDescent="0.25">
      <c r="A81" s="6">
        <v>4</v>
      </c>
      <c r="B81" s="5" t="s">
        <v>72</v>
      </c>
      <c r="C81" s="6" t="s">
        <v>156</v>
      </c>
      <c r="D81" s="5" t="s">
        <v>54</v>
      </c>
      <c r="E81" s="9"/>
      <c r="F81" t="s">
        <v>56</v>
      </c>
    </row>
    <row r="82" spans="1:6" ht="15" customHeight="1" x14ac:dyDescent="0.25">
      <c r="A82" s="6">
        <v>3</v>
      </c>
      <c r="B82" s="5" t="s">
        <v>52</v>
      </c>
      <c r="C82" s="6" t="s">
        <v>157</v>
      </c>
      <c r="D82" s="5" t="s">
        <v>66</v>
      </c>
      <c r="E82" s="9"/>
      <c r="F82" t="s">
        <v>60</v>
      </c>
    </row>
    <row r="83" spans="1:6" ht="15" customHeight="1" x14ac:dyDescent="0.25">
      <c r="A83" s="6">
        <v>2</v>
      </c>
      <c r="B83" s="5" t="s">
        <v>75</v>
      </c>
      <c r="C83" s="6" t="s">
        <v>158</v>
      </c>
      <c r="D83" s="5" t="s">
        <v>77</v>
      </c>
      <c r="E83" s="9"/>
      <c r="F83" t="s">
        <v>89</v>
      </c>
    </row>
    <row r="84" spans="1:6" ht="26.25" customHeight="1" x14ac:dyDescent="0.25">
      <c r="A84" s="6">
        <v>2</v>
      </c>
      <c r="B84" s="5" t="s">
        <v>75</v>
      </c>
      <c r="C84" s="6" t="s">
        <v>159</v>
      </c>
      <c r="D84" s="5" t="s">
        <v>59</v>
      </c>
      <c r="E84" s="9"/>
      <c r="F84" t="s">
        <v>103</v>
      </c>
    </row>
    <row r="85" spans="1:6" ht="15" customHeight="1" x14ac:dyDescent="0.25">
      <c r="A85" s="6">
        <v>3</v>
      </c>
      <c r="B85" s="5" t="s">
        <v>52</v>
      </c>
      <c r="C85" s="6" t="s">
        <v>160</v>
      </c>
      <c r="D85" s="5" t="s">
        <v>66</v>
      </c>
      <c r="E85" s="9"/>
      <c r="F85" t="s">
        <v>74</v>
      </c>
    </row>
    <row r="86" spans="1:6" ht="15" customHeight="1" x14ac:dyDescent="0.25">
      <c r="A86" s="6">
        <v>3</v>
      </c>
      <c r="B86" s="5" t="s">
        <v>52</v>
      </c>
      <c r="C86" s="6" t="s">
        <v>161</v>
      </c>
      <c r="D86" s="5" t="s">
        <v>63</v>
      </c>
      <c r="E86" s="9"/>
      <c r="F86" t="s">
        <v>82</v>
      </c>
    </row>
    <row r="87" spans="1:6" ht="15" customHeight="1" x14ac:dyDescent="0.25">
      <c r="A87" s="6">
        <v>4</v>
      </c>
      <c r="B87" s="5" t="s">
        <v>72</v>
      </c>
      <c r="C87" s="6" t="s">
        <v>162</v>
      </c>
      <c r="D87" s="5" t="s">
        <v>77</v>
      </c>
      <c r="E87" s="9"/>
      <c r="F87" t="s">
        <v>78</v>
      </c>
    </row>
    <row r="88" spans="1:6" ht="26.25" customHeight="1" x14ac:dyDescent="0.25">
      <c r="A88" s="6">
        <v>5</v>
      </c>
      <c r="B88" s="5" t="s">
        <v>68</v>
      </c>
      <c r="C88" s="6" t="s">
        <v>163</v>
      </c>
      <c r="D88" s="5" t="s">
        <v>66</v>
      </c>
      <c r="E88" s="9"/>
      <c r="F88" t="s">
        <v>82</v>
      </c>
    </row>
    <row r="89" spans="1:6" ht="26.25" customHeight="1" x14ac:dyDescent="0.25">
      <c r="A89" s="6">
        <v>1</v>
      </c>
      <c r="B89" s="5" t="s">
        <v>57</v>
      </c>
      <c r="C89" s="6" t="s">
        <v>164</v>
      </c>
      <c r="D89" s="5" t="s">
        <v>88</v>
      </c>
      <c r="E89" s="9"/>
      <c r="F89" t="s">
        <v>74</v>
      </c>
    </row>
    <row r="90" spans="1:6" ht="26.25" customHeight="1" x14ac:dyDescent="0.25">
      <c r="A90" s="6">
        <v>8</v>
      </c>
      <c r="B90" s="5" t="s">
        <v>83</v>
      </c>
      <c r="C90" s="6" t="s">
        <v>165</v>
      </c>
      <c r="D90" s="5" t="s">
        <v>88</v>
      </c>
      <c r="E90" s="9"/>
      <c r="F90" t="s">
        <v>89</v>
      </c>
    </row>
    <row r="91" spans="1:6" ht="26.25" customHeight="1" x14ac:dyDescent="0.25">
      <c r="A91" s="6">
        <v>7</v>
      </c>
      <c r="B91" s="5" t="s">
        <v>70</v>
      </c>
      <c r="C91" s="6" t="s">
        <v>166</v>
      </c>
      <c r="D91" s="5" t="s">
        <v>59</v>
      </c>
      <c r="E91" s="9"/>
      <c r="F91" t="s">
        <v>67</v>
      </c>
    </row>
    <row r="92" spans="1:6" ht="15" customHeight="1" x14ac:dyDescent="0.25">
      <c r="A92" s="6">
        <v>9</v>
      </c>
      <c r="B92" s="5" t="s">
        <v>80</v>
      </c>
      <c r="C92" s="6" t="s">
        <v>167</v>
      </c>
      <c r="D92" s="5" t="s">
        <v>77</v>
      </c>
      <c r="E92" s="9"/>
      <c r="F92" t="s">
        <v>78</v>
      </c>
    </row>
    <row r="93" spans="1:6" ht="15" customHeight="1" x14ac:dyDescent="0.25">
      <c r="A93" s="6">
        <v>6</v>
      </c>
      <c r="B93" s="5" t="s">
        <v>61</v>
      </c>
      <c r="C93" s="6" t="s">
        <v>168</v>
      </c>
      <c r="D93" s="5" t="s">
        <v>54</v>
      </c>
      <c r="E93" s="9"/>
      <c r="F93" t="s">
        <v>56</v>
      </c>
    </row>
    <row r="94" spans="1:6" ht="15" customHeight="1" x14ac:dyDescent="0.25">
      <c r="A94" s="6">
        <v>8</v>
      </c>
      <c r="B94" s="5" t="s">
        <v>83</v>
      </c>
      <c r="C94" s="6" t="s">
        <v>169</v>
      </c>
      <c r="D94" s="5" t="s">
        <v>63</v>
      </c>
      <c r="E94" s="9"/>
      <c r="F94" t="s">
        <v>74</v>
      </c>
    </row>
    <row r="95" spans="1:6" ht="15" customHeight="1" x14ac:dyDescent="0.25">
      <c r="A95" s="6">
        <v>9</v>
      </c>
      <c r="B95" s="5" t="s">
        <v>80</v>
      </c>
      <c r="C95" s="6" t="s">
        <v>170</v>
      </c>
      <c r="D95" s="5" t="s">
        <v>63</v>
      </c>
      <c r="E95" s="9"/>
      <c r="F95" t="s">
        <v>64</v>
      </c>
    </row>
    <row r="96" spans="1:6" ht="15" customHeight="1" x14ac:dyDescent="0.25">
      <c r="A96" s="6">
        <v>9</v>
      </c>
      <c r="B96" s="5" t="s">
        <v>80</v>
      </c>
      <c r="C96" s="6" t="s">
        <v>171</v>
      </c>
      <c r="D96" s="5" t="s">
        <v>66</v>
      </c>
      <c r="E96" s="9"/>
      <c r="F96" t="s">
        <v>82</v>
      </c>
    </row>
    <row r="97" spans="1:6" ht="26.25" customHeight="1" x14ac:dyDescent="0.25">
      <c r="A97" s="6">
        <v>4</v>
      </c>
      <c r="B97" s="5" t="s">
        <v>72</v>
      </c>
      <c r="C97" s="6" t="s">
        <v>172</v>
      </c>
      <c r="D97" s="5" t="s">
        <v>77</v>
      </c>
      <c r="E97" s="9"/>
      <c r="F97" t="s">
        <v>103</v>
      </c>
    </row>
    <row r="98" spans="1:6" ht="15" customHeight="1" x14ac:dyDescent="0.25">
      <c r="A98" s="6">
        <v>1</v>
      </c>
      <c r="B98" s="5" t="s">
        <v>57</v>
      </c>
      <c r="C98" s="6" t="s">
        <v>173</v>
      </c>
      <c r="D98" s="5" t="s">
        <v>66</v>
      </c>
      <c r="E98" s="9"/>
      <c r="F98" t="s">
        <v>82</v>
      </c>
    </row>
    <row r="99" spans="1:6" ht="15" customHeight="1" x14ac:dyDescent="0.25">
      <c r="A99" s="6">
        <v>5</v>
      </c>
      <c r="B99" s="5" t="s">
        <v>68</v>
      </c>
      <c r="C99" s="6" t="s">
        <v>174</v>
      </c>
      <c r="D99" s="5" t="s">
        <v>77</v>
      </c>
      <c r="E99" s="9"/>
      <c r="F99" t="s">
        <v>103</v>
      </c>
    </row>
    <row r="100" spans="1:6" ht="26.25" customHeight="1" x14ac:dyDescent="0.25">
      <c r="A100" s="6">
        <v>6</v>
      </c>
      <c r="B100" s="5" t="s">
        <v>61</v>
      </c>
      <c r="C100" s="6" t="s">
        <v>175</v>
      </c>
      <c r="D100" s="5" t="s">
        <v>88</v>
      </c>
      <c r="E100" s="9"/>
      <c r="F100" t="s">
        <v>89</v>
      </c>
    </row>
    <row r="101" spans="1:6" ht="15" customHeight="1" x14ac:dyDescent="0.25">
      <c r="A101" s="6">
        <v>7</v>
      </c>
      <c r="B101" s="5" t="s">
        <v>70</v>
      </c>
      <c r="C101" s="6" t="s">
        <v>176</v>
      </c>
      <c r="D101" s="5" t="s">
        <v>63</v>
      </c>
      <c r="E101" s="9"/>
      <c r="F101" t="s">
        <v>64</v>
      </c>
    </row>
    <row r="102" spans="1:6" ht="26.25" customHeight="1" x14ac:dyDescent="0.25">
      <c r="A102" s="6">
        <v>8</v>
      </c>
      <c r="B102" s="5" t="s">
        <v>83</v>
      </c>
      <c r="C102" s="6" t="s">
        <v>177</v>
      </c>
      <c r="D102" s="5" t="s">
        <v>77</v>
      </c>
      <c r="E102" s="9"/>
      <c r="F102" t="s">
        <v>103</v>
      </c>
    </row>
    <row r="103" spans="1:6" ht="15" customHeight="1" x14ac:dyDescent="0.25">
      <c r="A103" s="6">
        <v>4</v>
      </c>
      <c r="B103" s="5" t="s">
        <v>72</v>
      </c>
      <c r="C103" s="6" t="s">
        <v>178</v>
      </c>
      <c r="D103" s="5" t="s">
        <v>77</v>
      </c>
      <c r="E103" s="9"/>
      <c r="F103" t="s">
        <v>103</v>
      </c>
    </row>
    <row r="104" spans="1:6" ht="15" customHeight="1" x14ac:dyDescent="0.25">
      <c r="A104" s="6">
        <v>1</v>
      </c>
      <c r="B104" s="5" t="s">
        <v>57</v>
      </c>
      <c r="C104" s="6" t="s">
        <v>179</v>
      </c>
      <c r="D104" s="5" t="s">
        <v>77</v>
      </c>
      <c r="E104" s="9"/>
      <c r="F104" t="s">
        <v>103</v>
      </c>
    </row>
    <row r="105" spans="1:6" ht="26.25" customHeight="1" x14ac:dyDescent="0.25">
      <c r="A105" s="6">
        <v>1</v>
      </c>
      <c r="B105" s="5" t="s">
        <v>57</v>
      </c>
      <c r="C105" s="6" t="s">
        <v>180</v>
      </c>
      <c r="D105" s="5" t="s">
        <v>66</v>
      </c>
      <c r="E105" s="9"/>
      <c r="F105" t="s">
        <v>67</v>
      </c>
    </row>
    <row r="106" spans="1:6" ht="26.25" customHeight="1" x14ac:dyDescent="0.25">
      <c r="A106" s="6">
        <v>6</v>
      </c>
      <c r="B106" s="5" t="s">
        <v>61</v>
      </c>
      <c r="C106" s="6" t="s">
        <v>181</v>
      </c>
      <c r="D106" s="5" t="s">
        <v>66</v>
      </c>
      <c r="E106" s="9"/>
      <c r="F106" t="s">
        <v>74</v>
      </c>
    </row>
    <row r="107" spans="1:6" ht="26.25" customHeight="1" x14ac:dyDescent="0.25">
      <c r="A107" s="6">
        <v>2</v>
      </c>
      <c r="B107" s="5" t="s">
        <v>75</v>
      </c>
      <c r="C107" s="6" t="s">
        <v>182</v>
      </c>
      <c r="D107" s="5" t="s">
        <v>54</v>
      </c>
      <c r="E107" s="9"/>
      <c r="F107" t="s">
        <v>56</v>
      </c>
    </row>
    <row r="108" spans="1:6" ht="26.25" customHeight="1" x14ac:dyDescent="0.25">
      <c r="A108" s="6">
        <v>2</v>
      </c>
      <c r="B108" s="5" t="s">
        <v>75</v>
      </c>
      <c r="C108" s="6" t="s">
        <v>183</v>
      </c>
      <c r="D108" s="5" t="s">
        <v>63</v>
      </c>
      <c r="E108" s="9"/>
      <c r="F108" t="s">
        <v>82</v>
      </c>
    </row>
    <row r="109" spans="1:6" ht="26.25" customHeight="1" x14ac:dyDescent="0.25">
      <c r="A109" s="6">
        <v>3</v>
      </c>
      <c r="B109" s="5" t="s">
        <v>52</v>
      </c>
      <c r="C109" s="6" t="s">
        <v>184</v>
      </c>
      <c r="D109" s="5" t="s">
        <v>77</v>
      </c>
      <c r="E109" s="9"/>
      <c r="F109" t="s">
        <v>78</v>
      </c>
    </row>
    <row r="110" spans="1:6" ht="15" customHeight="1" x14ac:dyDescent="0.25">
      <c r="A110" s="6">
        <v>7</v>
      </c>
      <c r="B110" s="5" t="s">
        <v>70</v>
      </c>
      <c r="C110" s="6" t="s">
        <v>185</v>
      </c>
      <c r="D110" s="5" t="s">
        <v>77</v>
      </c>
      <c r="E110" s="9"/>
      <c r="F110" t="s">
        <v>103</v>
      </c>
    </row>
    <row r="111" spans="1:6" ht="26.25" customHeight="1" x14ac:dyDescent="0.25">
      <c r="A111" s="6">
        <v>5</v>
      </c>
      <c r="B111" s="5" t="s">
        <v>68</v>
      </c>
      <c r="C111" s="6" t="s">
        <v>186</v>
      </c>
      <c r="D111" s="5" t="s">
        <v>77</v>
      </c>
      <c r="E111" s="9"/>
      <c r="F111" t="s">
        <v>74</v>
      </c>
    </row>
    <row r="112" spans="1:6" ht="15" customHeight="1" x14ac:dyDescent="0.25">
      <c r="A112" s="6">
        <v>7</v>
      </c>
      <c r="B112" s="5" t="s">
        <v>70</v>
      </c>
      <c r="C112" s="6" t="s">
        <v>187</v>
      </c>
      <c r="D112" s="5" t="s">
        <v>77</v>
      </c>
      <c r="E112" s="9"/>
      <c r="F112" t="s">
        <v>78</v>
      </c>
    </row>
    <row r="113" spans="1:6" ht="15" customHeight="1" x14ac:dyDescent="0.25">
      <c r="A113" s="6">
        <v>3</v>
      </c>
      <c r="B113" s="5" t="s">
        <v>52</v>
      </c>
      <c r="C113" s="6" t="s">
        <v>188</v>
      </c>
      <c r="D113" s="5" t="s">
        <v>88</v>
      </c>
      <c r="E113" s="9"/>
      <c r="F113" t="s">
        <v>74</v>
      </c>
    </row>
    <row r="114" spans="1:6" ht="15" customHeight="1" x14ac:dyDescent="0.25">
      <c r="A114" s="6">
        <v>3</v>
      </c>
      <c r="B114" s="5" t="s">
        <v>52</v>
      </c>
      <c r="C114" s="6" t="s">
        <v>189</v>
      </c>
      <c r="D114" s="5" t="s">
        <v>77</v>
      </c>
      <c r="E114" s="9"/>
      <c r="F114" t="s">
        <v>67</v>
      </c>
    </row>
    <row r="115" spans="1:6" ht="15" customHeight="1" x14ac:dyDescent="0.25">
      <c r="A115" s="6">
        <v>5</v>
      </c>
      <c r="B115" s="5" t="s">
        <v>68</v>
      </c>
      <c r="C115" s="6" t="s">
        <v>190</v>
      </c>
      <c r="D115" s="5" t="s">
        <v>59</v>
      </c>
      <c r="E115" s="9"/>
      <c r="F115" t="s">
        <v>60</v>
      </c>
    </row>
    <row r="116" spans="1:6" ht="15" customHeight="1" x14ac:dyDescent="0.25">
      <c r="A116" s="6">
        <v>8</v>
      </c>
      <c r="B116" s="5" t="s">
        <v>83</v>
      </c>
      <c r="C116" s="6" t="s">
        <v>191</v>
      </c>
      <c r="D116" s="5" t="s">
        <v>77</v>
      </c>
      <c r="E116" s="9"/>
      <c r="F116" t="s">
        <v>67</v>
      </c>
    </row>
    <row r="117" spans="1:6" ht="15" customHeight="1" x14ac:dyDescent="0.25">
      <c r="A117" s="6">
        <v>4</v>
      </c>
      <c r="B117" s="5" t="s">
        <v>72</v>
      </c>
      <c r="C117" s="6" t="s">
        <v>192</v>
      </c>
      <c r="D117" s="5" t="s">
        <v>88</v>
      </c>
      <c r="E117" s="9"/>
      <c r="F117" t="s">
        <v>89</v>
      </c>
    </row>
    <row r="118" spans="1:6" ht="15" customHeight="1" x14ac:dyDescent="0.25">
      <c r="A118" s="6">
        <v>6</v>
      </c>
      <c r="B118" s="5" t="s">
        <v>61</v>
      </c>
      <c r="C118" s="6" t="s">
        <v>193</v>
      </c>
      <c r="D118" s="5" t="s">
        <v>77</v>
      </c>
      <c r="E118" s="9"/>
      <c r="F118" t="s">
        <v>67</v>
      </c>
    </row>
    <row r="119" spans="1:6" ht="15" customHeight="1" x14ac:dyDescent="0.25">
      <c r="A119" s="6">
        <v>9</v>
      </c>
      <c r="B119" s="5" t="s">
        <v>80</v>
      </c>
      <c r="C119" s="6" t="s">
        <v>194</v>
      </c>
      <c r="D119" s="5" t="s">
        <v>59</v>
      </c>
      <c r="E119" s="9"/>
      <c r="F119" t="s">
        <v>60</v>
      </c>
    </row>
    <row r="120" spans="1:6" ht="26.25" customHeight="1" x14ac:dyDescent="0.25">
      <c r="A120" s="6">
        <v>2</v>
      </c>
      <c r="B120" s="5" t="s">
        <v>75</v>
      </c>
      <c r="C120" s="6" t="s">
        <v>195</v>
      </c>
      <c r="D120" s="5" t="s">
        <v>77</v>
      </c>
      <c r="E120" s="9"/>
      <c r="F120" t="s">
        <v>78</v>
      </c>
    </row>
    <row r="121" spans="1:6" ht="15" customHeight="1" x14ac:dyDescent="0.25">
      <c r="A121" s="6">
        <v>8</v>
      </c>
      <c r="B121" s="5" t="s">
        <v>83</v>
      </c>
      <c r="C121" s="6" t="s">
        <v>196</v>
      </c>
      <c r="D121" s="5" t="s">
        <v>88</v>
      </c>
      <c r="E121" s="9"/>
      <c r="F121" t="s">
        <v>89</v>
      </c>
    </row>
    <row r="122" spans="1:6" ht="15" customHeight="1" x14ac:dyDescent="0.25">
      <c r="A122" s="6">
        <v>8</v>
      </c>
      <c r="B122" s="5" t="s">
        <v>83</v>
      </c>
      <c r="C122" s="6" t="s">
        <v>197</v>
      </c>
      <c r="D122" s="5" t="s">
        <v>77</v>
      </c>
      <c r="E122" s="9"/>
      <c r="F122" t="s">
        <v>103</v>
      </c>
    </row>
    <row r="123" spans="1:6" ht="15" customHeight="1" x14ac:dyDescent="0.25">
      <c r="A123" s="6">
        <v>7</v>
      </c>
      <c r="B123" s="5" t="s">
        <v>70</v>
      </c>
      <c r="C123" s="6" t="s">
        <v>198</v>
      </c>
      <c r="D123" s="5" t="s">
        <v>63</v>
      </c>
      <c r="E123" s="9"/>
      <c r="F123" t="s">
        <v>64</v>
      </c>
    </row>
    <row r="124" spans="1:6" ht="15" customHeight="1" x14ac:dyDescent="0.25">
      <c r="A124" s="6">
        <v>6</v>
      </c>
      <c r="B124" s="5" t="s">
        <v>61</v>
      </c>
      <c r="C124" s="6" t="s">
        <v>199</v>
      </c>
      <c r="D124" s="5" t="s">
        <v>77</v>
      </c>
      <c r="E124" s="9"/>
      <c r="F124" t="s">
        <v>78</v>
      </c>
    </row>
    <row r="125" spans="1:6" ht="26.25" customHeight="1" x14ac:dyDescent="0.25">
      <c r="A125" s="6">
        <v>4</v>
      </c>
      <c r="B125" s="5" t="s">
        <v>72</v>
      </c>
      <c r="C125" s="6" t="s">
        <v>200</v>
      </c>
      <c r="D125" s="5" t="s">
        <v>66</v>
      </c>
      <c r="E125" s="9"/>
      <c r="F125" t="s">
        <v>67</v>
      </c>
    </row>
    <row r="126" spans="1:6" ht="26.25" customHeight="1" x14ac:dyDescent="0.25">
      <c r="A126" s="6">
        <v>1</v>
      </c>
      <c r="B126" s="5" t="s">
        <v>57</v>
      </c>
      <c r="C126" s="6" t="s">
        <v>201</v>
      </c>
      <c r="D126" s="5" t="s">
        <v>59</v>
      </c>
      <c r="E126" s="9"/>
      <c r="F126" t="s">
        <v>60</v>
      </c>
    </row>
    <row r="127" spans="1:6" ht="26.25" customHeight="1" x14ac:dyDescent="0.25">
      <c r="A127" s="6">
        <v>5</v>
      </c>
      <c r="B127" s="5" t="s">
        <v>68</v>
      </c>
      <c r="C127" s="6" t="s">
        <v>202</v>
      </c>
      <c r="D127" s="5" t="s">
        <v>59</v>
      </c>
      <c r="E127" s="9"/>
      <c r="F127" t="s">
        <v>103</v>
      </c>
    </row>
    <row r="128" spans="1:6" ht="15" customHeight="1" x14ac:dyDescent="0.25">
      <c r="A128" s="6">
        <v>9</v>
      </c>
      <c r="B128" s="5" t="s">
        <v>80</v>
      </c>
      <c r="C128" s="6" t="s">
        <v>203</v>
      </c>
      <c r="D128" s="5" t="s">
        <v>77</v>
      </c>
      <c r="E128" s="9"/>
      <c r="F128" t="s">
        <v>78</v>
      </c>
    </row>
    <row r="129" spans="1:6" ht="15" customHeight="1" x14ac:dyDescent="0.25">
      <c r="A129" s="6">
        <v>3</v>
      </c>
      <c r="B129" s="5" t="s">
        <v>52</v>
      </c>
      <c r="C129" s="6" t="s">
        <v>204</v>
      </c>
      <c r="D129" s="5" t="s">
        <v>63</v>
      </c>
      <c r="E129" s="9"/>
      <c r="F129" t="s">
        <v>64</v>
      </c>
    </row>
    <row r="130" spans="1:6" ht="15" customHeight="1" x14ac:dyDescent="0.25">
      <c r="A130" s="6">
        <v>5</v>
      </c>
      <c r="B130" s="5" t="s">
        <v>68</v>
      </c>
      <c r="C130" s="6" t="s">
        <v>205</v>
      </c>
      <c r="D130" s="5" t="s">
        <v>63</v>
      </c>
      <c r="E130" s="9"/>
      <c r="F130" t="s">
        <v>64</v>
      </c>
    </row>
    <row r="131" spans="1:6" ht="15" customHeight="1" x14ac:dyDescent="0.25">
      <c r="A131" s="6">
        <v>9</v>
      </c>
      <c r="B131" s="5" t="s">
        <v>80</v>
      </c>
      <c r="C131" s="6" t="s">
        <v>206</v>
      </c>
      <c r="D131" s="5" t="s">
        <v>77</v>
      </c>
      <c r="E131" s="9"/>
      <c r="F131" t="s">
        <v>67</v>
      </c>
    </row>
    <row r="132" spans="1:6" ht="15" customHeight="1" x14ac:dyDescent="0.25">
      <c r="A132" s="6">
        <v>4</v>
      </c>
      <c r="B132" s="5" t="s">
        <v>72</v>
      </c>
      <c r="C132" s="6" t="s">
        <v>207</v>
      </c>
      <c r="D132" s="5" t="s">
        <v>66</v>
      </c>
      <c r="E132" s="9"/>
      <c r="F132" t="s">
        <v>82</v>
      </c>
    </row>
    <row r="133" spans="1:6" ht="15" customHeight="1" x14ac:dyDescent="0.25">
      <c r="A133" s="6">
        <v>1</v>
      </c>
      <c r="B133" s="5" t="s">
        <v>57</v>
      </c>
      <c r="C133" s="6" t="s">
        <v>208</v>
      </c>
      <c r="D133" s="5" t="s">
        <v>88</v>
      </c>
      <c r="E133" s="9"/>
      <c r="F133" t="s">
        <v>89</v>
      </c>
    </row>
    <row r="134" spans="1:6" ht="26.25" customHeight="1" x14ac:dyDescent="0.25">
      <c r="A134" s="6">
        <v>2</v>
      </c>
      <c r="B134" s="5" t="s">
        <v>75</v>
      </c>
      <c r="C134" s="6" t="s">
        <v>209</v>
      </c>
      <c r="D134" s="5" t="s">
        <v>66</v>
      </c>
      <c r="E134" s="9"/>
      <c r="F134" t="s">
        <v>82</v>
      </c>
    </row>
    <row r="135" spans="1:6" ht="15" customHeight="1" x14ac:dyDescent="0.25">
      <c r="A135" s="6">
        <v>6</v>
      </c>
      <c r="B135" s="5" t="s">
        <v>61</v>
      </c>
      <c r="C135" s="6" t="s">
        <v>210</v>
      </c>
      <c r="D135" s="5" t="s">
        <v>88</v>
      </c>
      <c r="E135" s="9"/>
      <c r="F135" t="s">
        <v>89</v>
      </c>
    </row>
    <row r="136" spans="1:6" ht="15" customHeight="1" x14ac:dyDescent="0.25">
      <c r="A136" s="6">
        <v>7</v>
      </c>
      <c r="B136" s="5" t="s">
        <v>70</v>
      </c>
      <c r="C136" s="6" t="s">
        <v>211</v>
      </c>
      <c r="D136" s="5" t="s">
        <v>88</v>
      </c>
      <c r="E136" s="9"/>
      <c r="F136" t="s">
        <v>89</v>
      </c>
    </row>
    <row r="137" spans="1:6" ht="26.25" customHeight="1" x14ac:dyDescent="0.25">
      <c r="A137" s="6">
        <v>4</v>
      </c>
      <c r="B137" s="5" t="s">
        <v>72</v>
      </c>
      <c r="C137" s="6" t="s">
        <v>212</v>
      </c>
      <c r="D137" s="5" t="s">
        <v>59</v>
      </c>
      <c r="E137" s="9"/>
      <c r="F137" t="s">
        <v>64</v>
      </c>
    </row>
    <row r="138" spans="1:6" ht="15" customHeight="1" x14ac:dyDescent="0.25">
      <c r="A138" s="6">
        <v>5</v>
      </c>
      <c r="B138" s="5" t="s">
        <v>68</v>
      </c>
      <c r="C138" s="6" t="s">
        <v>213</v>
      </c>
      <c r="D138" s="5" t="s">
        <v>88</v>
      </c>
      <c r="E138" s="9"/>
      <c r="F138" t="s">
        <v>89</v>
      </c>
    </row>
    <row r="139" spans="1:6" ht="15" customHeight="1" x14ac:dyDescent="0.25">
      <c r="A139" s="6">
        <v>3</v>
      </c>
      <c r="B139" s="5" t="s">
        <v>52</v>
      </c>
      <c r="C139" s="6" t="s">
        <v>214</v>
      </c>
      <c r="D139" s="5" t="s">
        <v>66</v>
      </c>
      <c r="E139" s="9"/>
      <c r="F139" t="s">
        <v>67</v>
      </c>
    </row>
    <row r="140" spans="1:6" ht="15" customHeight="1" x14ac:dyDescent="0.25">
      <c r="A140" s="6">
        <v>6</v>
      </c>
      <c r="B140" s="5" t="s">
        <v>61</v>
      </c>
      <c r="C140" s="6" t="s">
        <v>215</v>
      </c>
      <c r="D140" s="5" t="s">
        <v>63</v>
      </c>
      <c r="E140" s="9"/>
      <c r="F140" t="s">
        <v>64</v>
      </c>
    </row>
    <row r="141" spans="1:6" ht="15" customHeight="1" x14ac:dyDescent="0.25">
      <c r="A141" s="6">
        <v>9</v>
      </c>
      <c r="B141" s="5" t="s">
        <v>80</v>
      </c>
      <c r="C141" s="6" t="s">
        <v>216</v>
      </c>
      <c r="D141" s="5" t="s">
        <v>54</v>
      </c>
      <c r="E141" s="9"/>
      <c r="F141" t="s">
        <v>56</v>
      </c>
    </row>
    <row r="142" spans="1:6" ht="26.25" customHeight="1" x14ac:dyDescent="0.25">
      <c r="A142" s="6">
        <v>7</v>
      </c>
      <c r="B142" s="5" t="s">
        <v>70</v>
      </c>
      <c r="C142" s="6" t="s">
        <v>217</v>
      </c>
      <c r="D142" s="5" t="s">
        <v>77</v>
      </c>
      <c r="E142" s="9"/>
      <c r="F142" t="s">
        <v>78</v>
      </c>
    </row>
    <row r="143" spans="1:6" ht="26.25" customHeight="1" x14ac:dyDescent="0.25">
      <c r="A143" s="6">
        <v>1</v>
      </c>
      <c r="B143" s="5" t="s">
        <v>57</v>
      </c>
      <c r="C143" s="6" t="s">
        <v>218</v>
      </c>
      <c r="D143" s="5" t="s">
        <v>59</v>
      </c>
      <c r="E143" s="9"/>
      <c r="F143" t="s">
        <v>78</v>
      </c>
    </row>
    <row r="144" spans="1:6" ht="26.25" customHeight="1" x14ac:dyDescent="0.25">
      <c r="A144" s="6">
        <v>8</v>
      </c>
      <c r="B144" s="5" t="s">
        <v>83</v>
      </c>
      <c r="C144" s="6" t="s">
        <v>219</v>
      </c>
      <c r="D144" s="5" t="s">
        <v>59</v>
      </c>
      <c r="E144" s="9"/>
      <c r="F144" t="s">
        <v>78</v>
      </c>
    </row>
    <row r="145" spans="1:6" ht="26.25" customHeight="1" x14ac:dyDescent="0.25">
      <c r="A145" s="6">
        <v>2</v>
      </c>
      <c r="B145" s="5" t="s">
        <v>75</v>
      </c>
      <c r="C145" s="6" t="s">
        <v>220</v>
      </c>
      <c r="D145" s="5" t="s">
        <v>88</v>
      </c>
      <c r="E145" s="9"/>
      <c r="F145" t="s">
        <v>74</v>
      </c>
    </row>
    <row r="146" spans="1:6" ht="15" customHeight="1" x14ac:dyDescent="0.25">
      <c r="A146" s="6">
        <v>2</v>
      </c>
      <c r="B146" s="5" t="s">
        <v>75</v>
      </c>
      <c r="C146" s="6" t="s">
        <v>221</v>
      </c>
      <c r="D146" s="5" t="s">
        <v>77</v>
      </c>
      <c r="E146" s="9"/>
      <c r="F146" t="s">
        <v>103</v>
      </c>
    </row>
    <row r="147" spans="1:6" ht="15" customHeight="1" x14ac:dyDescent="0.25">
      <c r="A147" s="6">
        <v>8</v>
      </c>
      <c r="B147" s="5" t="s">
        <v>83</v>
      </c>
      <c r="C147" s="6" t="s">
        <v>222</v>
      </c>
      <c r="D147" s="5" t="s">
        <v>63</v>
      </c>
      <c r="E147" s="9"/>
      <c r="F147" t="s">
        <v>82</v>
      </c>
    </row>
    <row r="148" spans="1:6" ht="15" customHeight="1" x14ac:dyDescent="0.25">
      <c r="A148" s="6">
        <v>9</v>
      </c>
      <c r="B148" s="5" t="s">
        <v>80</v>
      </c>
      <c r="C148" s="6" t="s">
        <v>223</v>
      </c>
      <c r="D148" s="5" t="s">
        <v>77</v>
      </c>
      <c r="E148" s="9"/>
      <c r="F148" t="s">
        <v>103</v>
      </c>
    </row>
    <row r="149" spans="1:6" ht="15" customHeight="1" x14ac:dyDescent="0.25">
      <c r="A149" s="6">
        <v>6</v>
      </c>
      <c r="B149" s="5" t="s">
        <v>61</v>
      </c>
      <c r="C149" s="6" t="s">
        <v>224</v>
      </c>
      <c r="D149" s="5" t="s">
        <v>88</v>
      </c>
      <c r="E149" s="9"/>
      <c r="F149" t="s">
        <v>74</v>
      </c>
    </row>
    <row r="150" spans="1:6" ht="26.25" customHeight="1" x14ac:dyDescent="0.25">
      <c r="A150" s="6">
        <v>1</v>
      </c>
      <c r="B150" s="5" t="s">
        <v>57</v>
      </c>
      <c r="C150" s="6" t="s">
        <v>225</v>
      </c>
      <c r="D150" s="5" t="s">
        <v>54</v>
      </c>
      <c r="E150" s="9"/>
      <c r="F150" t="s">
        <v>56</v>
      </c>
    </row>
    <row r="151" spans="1:6" ht="26.25" customHeight="1" x14ac:dyDescent="0.25">
      <c r="A151" s="6">
        <v>4</v>
      </c>
      <c r="B151" s="5" t="s">
        <v>72</v>
      </c>
      <c r="C151" s="6" t="s">
        <v>226</v>
      </c>
      <c r="D151" s="5" t="s">
        <v>88</v>
      </c>
      <c r="E151" s="9"/>
      <c r="F151" t="s">
        <v>74</v>
      </c>
    </row>
    <row r="152" spans="1:6" ht="15" customHeight="1" x14ac:dyDescent="0.25">
      <c r="A152" s="6">
        <v>7</v>
      </c>
      <c r="B152" s="5" t="s">
        <v>70</v>
      </c>
      <c r="C152" s="6" t="s">
        <v>227</v>
      </c>
      <c r="D152" s="5" t="s">
        <v>77</v>
      </c>
      <c r="E152" s="9"/>
      <c r="F152" t="s">
        <v>82</v>
      </c>
    </row>
    <row r="153" spans="1:6" ht="15" customHeight="1" x14ac:dyDescent="0.25">
      <c r="A153" s="6">
        <v>3</v>
      </c>
      <c r="B153" s="5" t="s">
        <v>52</v>
      </c>
      <c r="C153" s="6" t="s">
        <v>228</v>
      </c>
      <c r="D153" s="5" t="s">
        <v>77</v>
      </c>
      <c r="E153" s="9"/>
      <c r="F153" t="s">
        <v>56</v>
      </c>
    </row>
    <row r="154" spans="1:6" ht="15" customHeight="1" x14ac:dyDescent="0.25">
      <c r="A154" s="6">
        <v>5</v>
      </c>
      <c r="B154" s="5" t="s">
        <v>68</v>
      </c>
      <c r="C154" s="6" t="s">
        <v>229</v>
      </c>
      <c r="D154" s="5" t="s">
        <v>54</v>
      </c>
      <c r="E154" s="9"/>
      <c r="F154" t="s">
        <v>56</v>
      </c>
    </row>
    <row r="155" spans="1:6" ht="26.25" customHeight="1" x14ac:dyDescent="0.25">
      <c r="A155" s="6">
        <v>7</v>
      </c>
      <c r="B155" s="5" t="s">
        <v>70</v>
      </c>
      <c r="C155" s="6" t="s">
        <v>230</v>
      </c>
      <c r="D155" s="5" t="s">
        <v>63</v>
      </c>
      <c r="E155" s="9"/>
      <c r="F155" t="s">
        <v>82</v>
      </c>
    </row>
    <row r="156" spans="1:6" ht="15" customHeight="1" x14ac:dyDescent="0.25">
      <c r="A156" s="6">
        <v>6</v>
      </c>
      <c r="B156" s="5" t="s">
        <v>61</v>
      </c>
      <c r="C156" s="6" t="s">
        <v>231</v>
      </c>
      <c r="D156" s="5" t="s">
        <v>63</v>
      </c>
      <c r="E156" s="9"/>
      <c r="F156" t="s">
        <v>82</v>
      </c>
    </row>
    <row r="157" spans="1:6" ht="15" customHeight="1" x14ac:dyDescent="0.25">
      <c r="A157" s="6">
        <v>8</v>
      </c>
      <c r="B157" s="5" t="s">
        <v>83</v>
      </c>
      <c r="C157" s="6" t="s">
        <v>232</v>
      </c>
      <c r="D157" s="5" t="s">
        <v>54</v>
      </c>
      <c r="E157" s="9"/>
      <c r="F157" t="s">
        <v>56</v>
      </c>
    </row>
    <row r="158" spans="1:6" ht="26.25" customHeight="1" x14ac:dyDescent="0.25">
      <c r="A158" s="6">
        <v>1</v>
      </c>
      <c r="B158" s="5" t="s">
        <v>57</v>
      </c>
      <c r="C158" s="6" t="s">
        <v>233</v>
      </c>
      <c r="D158" s="5" t="s">
        <v>54</v>
      </c>
      <c r="E158" s="9"/>
      <c r="F158" t="s">
        <v>103</v>
      </c>
    </row>
    <row r="159" spans="1:6" ht="15" customHeight="1" x14ac:dyDescent="0.25">
      <c r="A159" s="6">
        <v>4</v>
      </c>
      <c r="B159" s="5" t="s">
        <v>72</v>
      </c>
      <c r="C159" s="6" t="s">
        <v>234</v>
      </c>
      <c r="D159" s="5" t="s">
        <v>63</v>
      </c>
      <c r="E159" s="9"/>
      <c r="F159" t="s">
        <v>82</v>
      </c>
    </row>
    <row r="160" spans="1:6" ht="26.25" customHeight="1" x14ac:dyDescent="0.25">
      <c r="A160" s="6">
        <v>5</v>
      </c>
      <c r="B160" s="5" t="s">
        <v>68</v>
      </c>
      <c r="C160" s="6" t="s">
        <v>235</v>
      </c>
      <c r="D160" s="5" t="s">
        <v>63</v>
      </c>
      <c r="E160" s="9"/>
      <c r="F160" t="s">
        <v>82</v>
      </c>
    </row>
    <row r="161" spans="1:6" ht="26.25" customHeight="1" x14ac:dyDescent="0.25">
      <c r="A161" s="6">
        <v>9</v>
      </c>
      <c r="B161" s="5" t="s">
        <v>80</v>
      </c>
      <c r="C161" s="6" t="s">
        <v>236</v>
      </c>
      <c r="D161" s="5" t="s">
        <v>88</v>
      </c>
      <c r="E161" s="9"/>
      <c r="F161" t="s">
        <v>103</v>
      </c>
    </row>
    <row r="162" spans="1:6" ht="26.25" customHeight="1" x14ac:dyDescent="0.25">
      <c r="A162" s="6">
        <v>3</v>
      </c>
      <c r="B162" s="5" t="s">
        <v>52</v>
      </c>
      <c r="C162" s="6" t="s">
        <v>237</v>
      </c>
      <c r="D162" s="5" t="s">
        <v>77</v>
      </c>
      <c r="E162" s="9"/>
      <c r="F162" t="s">
        <v>82</v>
      </c>
    </row>
    <row r="163" spans="1:6" ht="26.25" customHeight="1" x14ac:dyDescent="0.25">
      <c r="A163" s="6">
        <v>2</v>
      </c>
      <c r="B163" s="5" t="s">
        <v>75</v>
      </c>
      <c r="C163" s="6" t="s">
        <v>238</v>
      </c>
      <c r="D163" s="5" t="s">
        <v>88</v>
      </c>
      <c r="E163" s="9"/>
      <c r="F163" t="s">
        <v>74</v>
      </c>
    </row>
  </sheetData>
  <autoFilter ref="B1:B163" xr:uid="{00000000-0009-0000-0000-000000000000}"/>
  <dataValidations count="1">
    <dataValidation type="custom" allowBlank="1" showInputMessage="1" showErrorMessage="1" errorTitle="Risposta non valida" error="Inserisci solo &quot;SI&quot; oppure &quot;NO&quot;." promptTitle="Risposta SI/NO" prompt="Digita &quot;SI&quot; oppure &quot;NO&quot; (maiuscole o minuscole indifferenti)." sqref="E2:E163" xr:uid="{00000000-0002-0000-0000-000000000000}">
      <formula1>OR(UPPER(TRIM(E2))="SI",UPPER(TRIM(E2))="NO")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"/>
  <sheetViews>
    <sheetView showGridLines="0" zoomScaleNormal="100" workbookViewId="0">
      <selection activeCell="G8" sqref="G8"/>
    </sheetView>
  </sheetViews>
  <sheetFormatPr defaultColWidth="8.7109375" defaultRowHeight="15" x14ac:dyDescent="0.25"/>
  <cols>
    <col min="1" max="1" width="10" customWidth="1"/>
    <col min="2" max="2" width="18" customWidth="1"/>
    <col min="3" max="11" width="16" customWidth="1"/>
    <col min="12" max="12" width="14" customWidth="1"/>
    <col min="13" max="14" width="8" customWidth="1"/>
  </cols>
  <sheetData>
    <row r="1" spans="1:14" ht="17.25" customHeight="1" x14ac:dyDescent="0.25">
      <c r="A1" s="7" t="s">
        <v>0</v>
      </c>
    </row>
    <row r="3" spans="1:14" ht="26.25" customHeight="1" x14ac:dyDescent="0.25">
      <c r="A3" s="8" t="s">
        <v>1</v>
      </c>
      <c r="B3" s="8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/>
    </row>
    <row r="4" spans="1:14" ht="15" customHeight="1" x14ac:dyDescent="0.25">
      <c r="A4" s="5" t="s">
        <v>14</v>
      </c>
      <c r="B4" s="5" t="s">
        <v>15</v>
      </c>
      <c r="C4" s="9">
        <f>COUNTIFS('Table 1'!$B$2:$B$163,"Tipo 1*",'Table 1'!$F$2:$F$163,"motivazioni",'Table 1'!$E$2:$E$163,"SI")</f>
        <v>0</v>
      </c>
      <c r="D4" s="9">
        <f>COUNTIFS('Table 1'!$B$2:$B$163,"Tipo 1*",'Table 1'!$F$2:$F$163,"paure",'Table 1'!$E$2:$E$163,"SI")</f>
        <v>0</v>
      </c>
      <c r="E4" s="9">
        <f>COUNTIFS('Table 1'!$B$2:$B$163,"Tipo 1*",'Table 1'!$F$2:$F$163,"automatismi",'Table 1'!$E$2:$E$163,"SI")</f>
        <v>0</v>
      </c>
      <c r="F4" s="9">
        <f>COUNTIFS('Table 1'!$B$2:$B$163,"Tipo 1*",'Table 1'!$F$2:$F$163,"modalità relazionali",'Table 1'!$E$2:$E$163,"SI")</f>
        <v>0</v>
      </c>
      <c r="G4" s="9">
        <f>COUNTIFS('Table 1'!$B$2:$B$163,"Tipo 1*",'Table 1'!$F$2:$F$163,"reazioni sotto pressione",'Table 1'!$E$2:$E$163,"SI")</f>
        <v>0</v>
      </c>
      <c r="H4" s="9">
        <f>COUNTIFS('Table 1'!$B$2:$B$163,"Tipo 1*",'Table 1'!$F$2:$F$163,"rapporto con gli altri",'Table 1'!$E$2:$E$163,"SI")</f>
        <v>0</v>
      </c>
      <c r="I4" s="10">
        <f>COUNTIFS('Table 1'!$B$2:$B$163,"Tipo 1*",'Table 1'!$F$2:$F$163,"modalità decisionali",'Table 1'!$E$2:$E$163,"SI")</f>
        <v>0</v>
      </c>
      <c r="J4" s="9">
        <f>COUNTIFS('Table 1'!$B$2:$B$163,"Tipo 1*",'Table 1'!$F$2:$F$163,"errori ricorrenti",'Table 1'!$E$2:$E$163,"SI")</f>
        <v>0</v>
      </c>
      <c r="K4" s="5">
        <f>COUNTIFS('Table 1'!$B$2:$B$163,"Tipo 1*",'Table 1'!$F$2:$F$163,"strategie abituali",'Table 1'!$E$2:$E$163,"SI")</f>
        <v>0</v>
      </c>
      <c r="L4">
        <f t="shared" ref="L4:L12" si="0">SUM(C4:K4)</f>
        <v>0</v>
      </c>
      <c r="M4">
        <f t="shared" ref="M4:M12" si="1">ROUND(L4/18*100,0)</f>
        <v>0</v>
      </c>
    </row>
    <row r="5" spans="1:14" ht="15" customHeight="1" x14ac:dyDescent="0.25">
      <c r="A5" s="5" t="s">
        <v>16</v>
      </c>
      <c r="B5" s="5" t="s">
        <v>17</v>
      </c>
      <c r="C5" s="9">
        <f>COUNTIFS('Table 1'!$B$2:$B$163,"Tipo 2*",'Table 1'!$F$2:$F$163,"motivazioni",'Table 1'!$E$2:$E$163,"SI")</f>
        <v>0</v>
      </c>
      <c r="D5" s="9">
        <f>COUNTIFS('Table 1'!$B$2:$B$163,"Tipo 2*",'Table 1'!$F$2:$F$163,"paure",'Table 1'!$E$2:$E$163,"SI")</f>
        <v>0</v>
      </c>
      <c r="E5" s="9">
        <f>COUNTIFS('Table 1'!$B$2:$B$163,"Tipo 2*",'Table 1'!$F$2:$F$163,"automatismi",'Table 1'!$E$2:$E$163,"SI")</f>
        <v>0</v>
      </c>
      <c r="F5" s="9">
        <f>COUNTIFS('Table 1'!$B$2:$B$163,"Tipo 2*",'Table 1'!$F$2:$F$163,"modalità relazionali",'Table 1'!$E$2:$E$163,"SI")</f>
        <v>1</v>
      </c>
      <c r="G5" s="9">
        <f>COUNTIFS('Table 1'!$B$2:$B$163,"Tipo 2*",'Table 1'!$F$2:$F$163,"reazioni sotto pressione",'Table 1'!$E$2:$E$163,"SI")</f>
        <v>1</v>
      </c>
      <c r="H5" s="9">
        <f>COUNTIFS('Table 1'!$B$2:$B$163,"Tipo 2*",'Table 1'!$F$2:$F$163,"rapporto con gli altri",'Table 1'!$E$2:$E$163,"SI")</f>
        <v>0</v>
      </c>
      <c r="I5" s="10">
        <f>COUNTIFS('Table 1'!$B$2:$B$163,"Tipo 2*",'Table 1'!$F$2:$F$163,"modalità decisionali",'Table 1'!$E$2:$E$163,"SI")</f>
        <v>0</v>
      </c>
      <c r="J5" s="9">
        <f>COUNTIFS('Table 1'!$B$2:$B$163,"Tipo 2*",'Table 1'!$F$2:$F$163,"errori ricorrenti",'Table 1'!$E$2:$E$163,"SI")</f>
        <v>0</v>
      </c>
      <c r="K5" s="5">
        <f>COUNTIFS('Table 1'!$B$2:$B$163,"Tipo 2*",'Table 1'!$F$2:$F$163,"strategie abituali",'Table 1'!$E$2:$E$163,"SI")</f>
        <v>0</v>
      </c>
      <c r="L5">
        <f t="shared" si="0"/>
        <v>2</v>
      </c>
      <c r="M5">
        <f t="shared" si="1"/>
        <v>11</v>
      </c>
    </row>
    <row r="6" spans="1:14" ht="15" customHeight="1" x14ac:dyDescent="0.25">
      <c r="A6" s="5" t="s">
        <v>18</v>
      </c>
      <c r="B6" s="5" t="s">
        <v>19</v>
      </c>
      <c r="C6" s="9">
        <f>COUNTIFS('Table 1'!$B$2:$B$163,"Tipo 3*",'Table 1'!$F$2:$F$163,"motivazioni",'Table 1'!$E$2:$E$163,"SI")</f>
        <v>0</v>
      </c>
      <c r="D6" s="9">
        <f>COUNTIFS('Table 1'!$B$2:$B$163,"Tipo 3*",'Table 1'!$F$2:$F$163,"paure",'Table 1'!$E$2:$E$163,"SI")</f>
        <v>0</v>
      </c>
      <c r="E6" s="9">
        <f>COUNTIFS('Table 1'!$B$2:$B$163,"Tipo 3*",'Table 1'!$F$2:$F$163,"automatismi",'Table 1'!$E$2:$E$163,"SI")</f>
        <v>0</v>
      </c>
      <c r="F6" s="9">
        <f>COUNTIFS('Table 1'!$B$2:$B$163,"Tipo 3*",'Table 1'!$F$2:$F$163,"modalità relazionali",'Table 1'!$E$2:$E$163,"SI")</f>
        <v>0</v>
      </c>
      <c r="G6" s="9">
        <f>COUNTIFS('Table 1'!$B$2:$B$163,"Tipo 3*",'Table 1'!$F$2:$F$163,"reazioni sotto pressione",'Table 1'!$E$2:$E$163,"SI")</f>
        <v>1</v>
      </c>
      <c r="H6" s="9">
        <f>COUNTIFS('Table 1'!$B$2:$B$163,"Tipo 3*",'Table 1'!$F$2:$F$163,"rapporto con gli altri",'Table 1'!$E$2:$E$163,"SI")</f>
        <v>0</v>
      </c>
      <c r="I6" s="10">
        <f>COUNTIFS('Table 1'!$B$2:$B$163,"Tipo 3*",'Table 1'!$F$2:$F$163,"modalità decisionali",'Table 1'!$E$2:$E$163,"SI")</f>
        <v>0</v>
      </c>
      <c r="J6" s="9">
        <f>COUNTIFS('Table 1'!$B$2:$B$163,"Tipo 3*",'Table 1'!$F$2:$F$163,"errori ricorrenti",'Table 1'!$E$2:$E$163,"SI")</f>
        <v>0</v>
      </c>
      <c r="K6" s="5">
        <f>COUNTIFS('Table 1'!$B$2:$B$163,"Tipo 3*",'Table 1'!$F$2:$F$163,"strategie abituali",'Table 1'!$E$2:$E$163,"SI")</f>
        <v>0</v>
      </c>
      <c r="L6">
        <f t="shared" si="0"/>
        <v>1</v>
      </c>
      <c r="M6">
        <f t="shared" si="1"/>
        <v>6</v>
      </c>
    </row>
    <row r="7" spans="1:14" ht="15" customHeight="1" x14ac:dyDescent="0.25">
      <c r="A7" s="5" t="s">
        <v>20</v>
      </c>
      <c r="B7" s="5" t="s">
        <v>21</v>
      </c>
      <c r="C7" s="9">
        <f>COUNTIFS('Table 1'!$B$2:$B$163,"Tipo 4*",'Table 1'!$F$2:$F$163,"motivazioni",'Table 1'!$E$2:$E$163,"SI")</f>
        <v>0</v>
      </c>
      <c r="D7" s="9">
        <f>COUNTIFS('Table 1'!$B$2:$B$163,"Tipo 4*",'Table 1'!$F$2:$F$163,"paure",'Table 1'!$E$2:$E$163,"SI")</f>
        <v>0</v>
      </c>
      <c r="E7" s="9">
        <f>COUNTIFS('Table 1'!$B$2:$B$163,"Tipo 4*",'Table 1'!$F$2:$F$163,"automatismi",'Table 1'!$E$2:$E$163,"SI")</f>
        <v>0</v>
      </c>
      <c r="F7" s="9">
        <f>COUNTIFS('Table 1'!$B$2:$B$163,"Tipo 4*",'Table 1'!$F$2:$F$163,"modalità relazionali",'Table 1'!$E$2:$E$163,"SI")</f>
        <v>0</v>
      </c>
      <c r="G7" s="9">
        <f>COUNTIFS('Table 1'!$B$2:$B$163,"Tipo 4*",'Table 1'!$F$2:$F$163,"reazioni sotto pressione",'Table 1'!$E$2:$E$163,"SI")</f>
        <v>0</v>
      </c>
      <c r="H7" s="9">
        <f>COUNTIFS('Table 1'!$B$2:$B$163,"Tipo 4*",'Table 1'!$F$2:$F$163,"rapporto con gli altri",'Table 1'!$E$2:$E$163,"SI")</f>
        <v>0</v>
      </c>
      <c r="I7" s="10">
        <f>COUNTIFS('Table 1'!$B$2:$B$163,"Tipo 4*",'Table 1'!$F$2:$F$163,"modalità decisionali",'Table 1'!$E$2:$E$163,"SI")</f>
        <v>0</v>
      </c>
      <c r="J7" s="9">
        <f>COUNTIFS('Table 1'!$B$2:$B$163,"Tipo 4*",'Table 1'!$F$2:$F$163,"errori ricorrenti",'Table 1'!$E$2:$E$163,"SI")</f>
        <v>0</v>
      </c>
      <c r="K7" s="5">
        <f>COUNTIFS('Table 1'!$B$2:$B$163,"Tipo 4*",'Table 1'!$F$2:$F$163,"strategie abituali",'Table 1'!$E$2:$E$163,"SI")</f>
        <v>0</v>
      </c>
      <c r="L7">
        <f t="shared" si="0"/>
        <v>0</v>
      </c>
      <c r="M7">
        <f t="shared" si="1"/>
        <v>0</v>
      </c>
    </row>
    <row r="8" spans="1:14" ht="15" customHeight="1" x14ac:dyDescent="0.25">
      <c r="A8" s="5" t="s">
        <v>22</v>
      </c>
      <c r="B8" s="5" t="s">
        <v>23</v>
      </c>
      <c r="C8" s="9">
        <f>COUNTIFS('Table 1'!$B$2:$B$163,"Tipo 5*",'Table 1'!$F$2:$F$163,"motivazioni",'Table 1'!$E$2:$E$163,"SI")</f>
        <v>0</v>
      </c>
      <c r="D8" s="9">
        <f>COUNTIFS('Table 1'!$B$2:$B$163,"Tipo 5*",'Table 1'!$F$2:$F$163,"paure",'Table 1'!$E$2:$E$163,"SI")</f>
        <v>0</v>
      </c>
      <c r="E8" s="9">
        <f>COUNTIFS('Table 1'!$B$2:$B$163,"Tipo 5*",'Table 1'!$F$2:$F$163,"automatismi",'Table 1'!$E$2:$E$163,"SI")</f>
        <v>0</v>
      </c>
      <c r="F8" s="9">
        <f>COUNTIFS('Table 1'!$B$2:$B$163,"Tipo 5*",'Table 1'!$F$2:$F$163,"modalità relazionali",'Table 1'!$E$2:$E$163,"SI")</f>
        <v>1</v>
      </c>
      <c r="G8" s="9">
        <f>COUNTIFS('Table 1'!$B$2:$B$163,"Tipo 5*",'Table 1'!$F$2:$F$163,"reazioni sotto pressione",'Table 1'!$E$2:$E$163,"SI")</f>
        <v>0</v>
      </c>
      <c r="H8" s="9">
        <f>COUNTIFS('Table 1'!$B$2:$B$163,"Tipo 5*",'Table 1'!$F$2:$F$163,"rapporto con gli altri",'Table 1'!$E$2:$E$163,"SI")</f>
        <v>0</v>
      </c>
      <c r="I8" s="10">
        <f>COUNTIFS('Table 1'!$B$2:$B$163,"Tipo 5*",'Table 1'!$F$2:$F$163,"modalità decisionali",'Table 1'!$E$2:$E$163,"SI")</f>
        <v>0</v>
      </c>
      <c r="J8" s="9">
        <f>COUNTIFS('Table 1'!$B$2:$B$163,"Tipo 5*",'Table 1'!$F$2:$F$163,"errori ricorrenti",'Table 1'!$E$2:$E$163,"SI")</f>
        <v>0</v>
      </c>
      <c r="K8" s="5">
        <f>COUNTIFS('Table 1'!$B$2:$B$163,"Tipo 5*",'Table 1'!$F$2:$F$163,"strategie abituali",'Table 1'!$E$2:$E$163,"SI")</f>
        <v>0</v>
      </c>
      <c r="L8">
        <f t="shared" si="0"/>
        <v>1</v>
      </c>
      <c r="M8">
        <f t="shared" si="1"/>
        <v>6</v>
      </c>
    </row>
    <row r="9" spans="1:14" ht="15" customHeight="1" x14ac:dyDescent="0.25">
      <c r="A9" s="5" t="s">
        <v>24</v>
      </c>
      <c r="B9" s="5" t="s">
        <v>25</v>
      </c>
      <c r="C9" s="9">
        <f>COUNTIFS('Table 1'!$B$2:$B$163,"Tipo 6*",'Table 1'!$F$2:$F$163,"motivazioni",'Table 1'!$E$2:$E$163,"SI")</f>
        <v>0</v>
      </c>
      <c r="D9" s="9">
        <f>COUNTIFS('Table 1'!$B$2:$B$163,"Tipo 6*",'Table 1'!$F$2:$F$163,"paure",'Table 1'!$E$2:$E$163,"SI")</f>
        <v>0</v>
      </c>
      <c r="E9" s="9">
        <f>COUNTIFS('Table 1'!$B$2:$B$163,"Tipo 6*",'Table 1'!$F$2:$F$163,"automatismi",'Table 1'!$E$2:$E$163,"SI")</f>
        <v>0</v>
      </c>
      <c r="F9" s="9">
        <f>COUNTIFS('Table 1'!$B$2:$B$163,"Tipo 6*",'Table 1'!$F$2:$F$163,"modalità relazionali",'Table 1'!$E$2:$E$163,"SI")</f>
        <v>0</v>
      </c>
      <c r="G9" s="9">
        <f>COUNTIFS('Table 1'!$B$2:$B$163,"Tipo 6*",'Table 1'!$F$2:$F$163,"reazioni sotto pressione",'Table 1'!$E$2:$E$163,"SI")</f>
        <v>0</v>
      </c>
      <c r="H9" s="9">
        <f>COUNTIFS('Table 1'!$B$2:$B$163,"Tipo 6*",'Table 1'!$F$2:$F$163,"rapporto con gli altri",'Table 1'!$E$2:$E$163,"SI")</f>
        <v>0</v>
      </c>
      <c r="I9" s="10">
        <f>COUNTIFS('Table 1'!$B$2:$B$163,"Tipo 6*",'Table 1'!$F$2:$F$163,"modalità decisionali",'Table 1'!$E$2:$E$163,"SI")</f>
        <v>0</v>
      </c>
      <c r="J9" s="9">
        <f>COUNTIFS('Table 1'!$B$2:$B$163,"Tipo 6*",'Table 1'!$F$2:$F$163,"errori ricorrenti",'Table 1'!$E$2:$E$163,"SI")</f>
        <v>0</v>
      </c>
      <c r="K9" s="5">
        <f>COUNTIFS('Table 1'!$B$2:$B$163,"Tipo 6*",'Table 1'!$F$2:$F$163,"strategie abituali",'Table 1'!$E$2:$E$163,"SI")</f>
        <v>0</v>
      </c>
      <c r="L9">
        <f t="shared" si="0"/>
        <v>0</v>
      </c>
      <c r="M9">
        <f t="shared" si="1"/>
        <v>0</v>
      </c>
    </row>
    <row r="10" spans="1:14" ht="15" customHeight="1" x14ac:dyDescent="0.25">
      <c r="A10" s="5" t="s">
        <v>26</v>
      </c>
      <c r="B10" s="5" t="s">
        <v>27</v>
      </c>
      <c r="C10" s="9">
        <f>COUNTIFS('Table 1'!$B$2:$B$163,"Tipo 7*",'Table 1'!$F$2:$F$163,"motivazioni",'Table 1'!$E$2:$E$163,"SI")</f>
        <v>0</v>
      </c>
      <c r="D10" s="9">
        <f>COUNTIFS('Table 1'!$B$2:$B$163,"Tipo 7*",'Table 1'!$F$2:$F$163,"paure",'Table 1'!$E$2:$E$163,"SI")</f>
        <v>0</v>
      </c>
      <c r="E10" s="9">
        <f>COUNTIFS('Table 1'!$B$2:$B$163,"Tipo 7*",'Table 1'!$F$2:$F$163,"automatismi",'Table 1'!$E$2:$E$163,"SI")</f>
        <v>0</v>
      </c>
      <c r="F10" s="9">
        <f>COUNTIFS('Table 1'!$B$2:$B$163,"Tipo 7*",'Table 1'!$F$2:$F$163,"modalità relazionali",'Table 1'!$E$2:$E$163,"SI")</f>
        <v>0</v>
      </c>
      <c r="G10" s="9">
        <f>COUNTIFS('Table 1'!$B$2:$B$163,"Tipo 7*",'Table 1'!$F$2:$F$163,"reazioni sotto pressione",'Table 1'!$E$2:$E$163,"SI")</f>
        <v>0</v>
      </c>
      <c r="H10" s="9">
        <f>COUNTIFS('Table 1'!$B$2:$B$163,"Tipo 7*",'Table 1'!$F$2:$F$163,"rapporto con gli altri",'Table 1'!$E$2:$E$163,"SI")</f>
        <v>1</v>
      </c>
      <c r="I10" s="10">
        <f>COUNTIFS('Table 1'!$B$2:$B$163,"Tipo 7*",'Table 1'!$F$2:$F$163,"modalità decisionali",'Table 1'!$E$2:$E$163,"SI")</f>
        <v>0</v>
      </c>
      <c r="J10" s="9">
        <f>COUNTIFS('Table 1'!$B$2:$B$163,"Tipo 7*",'Table 1'!$F$2:$F$163,"errori ricorrenti",'Table 1'!$E$2:$E$163,"SI")</f>
        <v>0</v>
      </c>
      <c r="K10" s="5">
        <f>COUNTIFS('Table 1'!$B$2:$B$163,"Tipo 7*",'Table 1'!$F$2:$F$163,"strategie abituali",'Table 1'!$E$2:$E$163,"SI")</f>
        <v>0</v>
      </c>
      <c r="L10">
        <f t="shared" si="0"/>
        <v>1</v>
      </c>
      <c r="M10">
        <f t="shared" si="1"/>
        <v>6</v>
      </c>
    </row>
    <row r="11" spans="1:14" ht="15" customHeight="1" x14ac:dyDescent="0.25">
      <c r="A11" s="5" t="s">
        <v>28</v>
      </c>
      <c r="B11" s="5" t="s">
        <v>29</v>
      </c>
      <c r="C11" s="9">
        <f>COUNTIFS('Table 1'!$B$2:$B$163,"Tipo 8*",'Table 1'!$F$2:$F$163,"motivazioni",'Table 1'!$E$2:$E$163,"SI")</f>
        <v>0</v>
      </c>
      <c r="D11" s="9">
        <f>COUNTIFS('Table 1'!$B$2:$B$163,"Tipo 8*",'Table 1'!$F$2:$F$163,"paure",'Table 1'!$E$2:$E$163,"SI")</f>
        <v>0</v>
      </c>
      <c r="E11" s="9">
        <f>COUNTIFS('Table 1'!$B$2:$B$163,"Tipo 8*",'Table 1'!$F$2:$F$163,"automatismi",'Table 1'!$E$2:$E$163,"SI")</f>
        <v>0</v>
      </c>
      <c r="F11" s="9">
        <f>COUNTIFS('Table 1'!$B$2:$B$163,"Tipo 8*",'Table 1'!$F$2:$F$163,"modalità relazionali",'Table 1'!$E$2:$E$163,"SI")</f>
        <v>0</v>
      </c>
      <c r="G11" s="9">
        <f>COUNTIFS('Table 1'!$B$2:$B$163,"Tipo 8*",'Table 1'!$F$2:$F$163,"reazioni sotto pressione",'Table 1'!$E$2:$E$163,"SI")</f>
        <v>0</v>
      </c>
      <c r="H11" s="9">
        <f>COUNTIFS('Table 1'!$B$2:$B$163,"Tipo 8*",'Table 1'!$F$2:$F$163,"rapporto con gli altri",'Table 1'!$E$2:$E$163,"SI")</f>
        <v>0</v>
      </c>
      <c r="I11" s="10">
        <f>COUNTIFS('Table 1'!$B$2:$B$163,"Tipo 8*",'Table 1'!$F$2:$F$163,"modalità decisionali",'Table 1'!$E$2:$E$163,"SI")</f>
        <v>0</v>
      </c>
      <c r="J11" s="9">
        <f>COUNTIFS('Table 1'!$B$2:$B$163,"Tipo 8*",'Table 1'!$F$2:$F$163,"errori ricorrenti",'Table 1'!$E$2:$E$163,"SI")</f>
        <v>0</v>
      </c>
      <c r="K11" s="5">
        <f>COUNTIFS('Table 1'!$B$2:$B$163,"Tipo 8*",'Table 1'!$F$2:$F$163,"strategie abituali",'Table 1'!$E$2:$E$163,"SI")</f>
        <v>0</v>
      </c>
      <c r="L11">
        <f t="shared" si="0"/>
        <v>0</v>
      </c>
      <c r="M11">
        <f t="shared" si="1"/>
        <v>0</v>
      </c>
    </row>
    <row r="12" spans="1:14" ht="15" customHeight="1" x14ac:dyDescent="0.25">
      <c r="A12" s="5" t="s">
        <v>30</v>
      </c>
      <c r="B12" s="5" t="s">
        <v>31</v>
      </c>
      <c r="C12" s="9">
        <f>COUNTIFS('Table 1'!$B$2:$B$163,"Tipo 9*",'Table 1'!$F$2:$F$163,"motivazioni",'Table 1'!$E$2:$E$163,"SI")</f>
        <v>0</v>
      </c>
      <c r="D12" s="9">
        <f>COUNTIFS('Table 1'!$B$2:$B$163,"Tipo 9*",'Table 1'!$F$2:$F$163,"paure",'Table 1'!$E$2:$E$163,"SI")</f>
        <v>0</v>
      </c>
      <c r="E12" s="9">
        <f>COUNTIFS('Table 1'!$B$2:$B$163,"Tipo 9*",'Table 1'!$F$2:$F$163,"automatismi",'Table 1'!$E$2:$E$163,"SI")</f>
        <v>0</v>
      </c>
      <c r="F12" s="9">
        <f>COUNTIFS('Table 1'!$B$2:$B$163,"Tipo 9*",'Table 1'!$F$2:$F$163,"modalità relazionali",'Table 1'!$E$2:$E$163,"SI")</f>
        <v>0</v>
      </c>
      <c r="G12" s="9">
        <f>COUNTIFS('Table 1'!$B$2:$B$163,"Tipo 9*",'Table 1'!$F$2:$F$163,"reazioni sotto pressione",'Table 1'!$E$2:$E$163,"SI")</f>
        <v>0</v>
      </c>
      <c r="H12" s="9">
        <f>COUNTIFS('Table 1'!$B$2:$B$163,"Tipo 9*",'Table 1'!$F$2:$F$163,"rapporto con gli altri",'Table 1'!$E$2:$E$163,"SI")</f>
        <v>0</v>
      </c>
      <c r="I12" s="10">
        <f>COUNTIFS('Table 1'!$B$2:$B$163,"Tipo 9*",'Table 1'!$F$2:$F$163,"modalità decisionali",'Table 1'!$E$2:$E$163,"SI")</f>
        <v>0</v>
      </c>
      <c r="J12" s="9">
        <f>COUNTIFS('Table 1'!$B$2:$B$163,"Tipo 9*",'Table 1'!$F$2:$F$163,"errori ricorrenti",'Table 1'!$E$2:$E$163,"SI")</f>
        <v>0</v>
      </c>
      <c r="K12" s="5">
        <f>COUNTIFS('Table 1'!$B$2:$B$163,"Tipo 9*",'Table 1'!$F$2:$F$163,"strategie abituali",'Table 1'!$E$2:$E$163,"SI")</f>
        <v>0</v>
      </c>
      <c r="L12">
        <f t="shared" si="0"/>
        <v>0</v>
      </c>
      <c r="M12">
        <f t="shared" si="1"/>
        <v>0</v>
      </c>
    </row>
    <row r="14" spans="1:14" ht="15" customHeight="1" x14ac:dyDescent="0.25">
      <c r="A14" s="11" t="s">
        <v>32</v>
      </c>
    </row>
    <row r="15" spans="1:14" ht="15" customHeight="1" x14ac:dyDescent="0.25">
      <c r="A15" s="12" t="s">
        <v>33</v>
      </c>
      <c r="B15" s="13" t="str">
        <f>INDEX($A$4:$B$12,MATCH(MAX($L$4:$L$12),$L$4:$L$12,0),2)</f>
        <v>L'Altruista</v>
      </c>
      <c r="D15" s="12" t="s">
        <v>34</v>
      </c>
      <c r="E15" s="13">
        <f>MAX($L$4:$L$12)</f>
        <v>2</v>
      </c>
    </row>
    <row r="16" spans="1:14" ht="15" customHeight="1" x14ac:dyDescent="0.25">
      <c r="A16" s="12" t="s">
        <v>35</v>
      </c>
      <c r="B16" s="13" t="str">
        <f>INDEX($A$4:$B$12,MATCH(LARGE($L$4:$L$12,2),$L$4:$L$12,0),2)</f>
        <v>Il Realizzatore</v>
      </c>
      <c r="D16" s="12" t="s">
        <v>36</v>
      </c>
      <c r="E16" s="13">
        <f>LARGE($L$4:$L$12,2)</f>
        <v>1</v>
      </c>
    </row>
    <row r="17" spans="1:8" ht="15" customHeight="1" x14ac:dyDescent="0.25">
      <c r="A17" s="12" t="s">
        <v>37</v>
      </c>
      <c r="B17" s="13" t="str">
        <f>INDEX($A$4:$B$12,IF(MATCH(MAX($L$4:$L$12),$L$4:$L$12,0)=1,9,MATCH(MAX($L$4:$L$12),$L$4:$L$12,0)-1),2)</f>
        <v>Il Riformatore</v>
      </c>
      <c r="D17" s="12" t="s">
        <v>38</v>
      </c>
      <c r="E17" s="13">
        <f>INDEX($L$4:$L$12,IF(MATCH(MAX($L$4:$L$12),$L$4:$L$12,0)=1,9,MATCH(MAX($L$4:$L$12),$L$4:$L$12,0)-1))</f>
        <v>0</v>
      </c>
    </row>
    <row r="18" spans="1:8" ht="15" customHeight="1" x14ac:dyDescent="0.25">
      <c r="A18" s="12" t="s">
        <v>39</v>
      </c>
      <c r="B18" s="13" t="str">
        <f>INDEX($A$4:$B$12,IF(MATCH(MAX($L$4:$L$12),$L$4:$L$12,0)=9,1,MATCH(MAX($L$4:$L$12),$L$4:$L$12,0)+1),2)</f>
        <v>Il Realizzatore</v>
      </c>
      <c r="D18" s="12" t="s">
        <v>40</v>
      </c>
      <c r="E18" s="13">
        <f>INDEX($L$4:$L$12,IF(MATCH(MAX($L$4:$L$12),$L$4:$L$12,0)=9,1,MATCH(MAX($L$4:$L$12),$L$4:$L$12,0)+1))</f>
        <v>1</v>
      </c>
    </row>
    <row r="19" spans="1:8" ht="15" customHeight="1" x14ac:dyDescent="0.25">
      <c r="A19" s="15" t="s">
        <v>41</v>
      </c>
      <c r="B19" s="16"/>
      <c r="C19" s="16"/>
      <c r="D19" s="16"/>
      <c r="E19" s="16"/>
      <c r="F19" s="16"/>
      <c r="G19" s="16"/>
      <c r="H19" s="16"/>
    </row>
    <row r="20" spans="1:8" ht="15" customHeight="1" x14ac:dyDescent="0.25">
      <c r="A20" s="13"/>
    </row>
    <row r="21" spans="1:8" ht="15" customHeight="1" x14ac:dyDescent="0.25">
      <c r="A21" s="11" t="s">
        <v>42</v>
      </c>
    </row>
    <row r="22" spans="1:8" ht="15" customHeight="1" x14ac:dyDescent="0.25">
      <c r="A22" s="13" t="s">
        <v>43</v>
      </c>
      <c r="B22" s="13">
        <f>COUNTIF('Table 1'!$E$2:$E$163,"SI")</f>
        <v>5</v>
      </c>
    </row>
    <row r="23" spans="1:8" ht="23.25" customHeight="1" x14ac:dyDescent="0.25">
      <c r="A23" s="14" t="s">
        <v>44</v>
      </c>
      <c r="B23" s="13">
        <f>COUNTIF('Table 1'!$E$2:$E$163,"NO")</f>
        <v>1</v>
      </c>
    </row>
    <row r="24" spans="1:8" ht="15" customHeight="1" x14ac:dyDescent="0.25">
      <c r="A24" s="13" t="s">
        <v>45</v>
      </c>
      <c r="B24" s="13">
        <f>COUNTBLANK('Table 1'!$E$2:$E$163)</f>
        <v>156</v>
      </c>
    </row>
    <row r="26" spans="1:8" ht="35.1" customHeight="1" x14ac:dyDescent="0.25">
      <c r="A26" s="15" t="s">
        <v>46</v>
      </c>
      <c r="B26" s="16"/>
      <c r="C26" s="16"/>
      <c r="D26" s="16"/>
      <c r="E26" s="16"/>
      <c r="F26" s="16"/>
      <c r="G26" s="16"/>
      <c r="H26" s="16"/>
    </row>
  </sheetData>
  <mergeCells count="2">
    <mergeCell ref="A26:H26"/>
    <mergeCell ref="A19:H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28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00" customWidth="1"/>
  </cols>
  <sheetData>
    <row r="1" spans="2:2" ht="32.25" customHeight="1" x14ac:dyDescent="0.25">
      <c r="B1" s="1" t="s">
        <v>239</v>
      </c>
    </row>
    <row r="3" spans="2:2" ht="15" customHeight="1" x14ac:dyDescent="0.25">
      <c r="B3" s="2" t="s">
        <v>240</v>
      </c>
    </row>
    <row r="4" spans="2:2" ht="51.75" customHeight="1" x14ac:dyDescent="0.25">
      <c r="B4" s="3" t="s">
        <v>241</v>
      </c>
    </row>
    <row r="6" spans="2:2" ht="15" customHeight="1" x14ac:dyDescent="0.25">
      <c r="B6" s="2" t="s">
        <v>242</v>
      </c>
    </row>
    <row r="7" spans="2:2" ht="39" customHeight="1" x14ac:dyDescent="0.25">
      <c r="B7" s="3" t="s">
        <v>243</v>
      </c>
    </row>
    <row r="9" spans="2:2" ht="15" customHeight="1" x14ac:dyDescent="0.25">
      <c r="B9" s="2" t="s">
        <v>244</v>
      </c>
    </row>
    <row r="10" spans="2:2" ht="26.25" customHeight="1" x14ac:dyDescent="0.25">
      <c r="B10" s="3" t="s">
        <v>245</v>
      </c>
    </row>
    <row r="11" spans="2:2" ht="15" customHeight="1" x14ac:dyDescent="0.25">
      <c r="B11" s="3" t="s">
        <v>246</v>
      </c>
    </row>
    <row r="12" spans="2:2" ht="15" customHeight="1" x14ac:dyDescent="0.25">
      <c r="B12" s="3" t="s">
        <v>247</v>
      </c>
    </row>
    <row r="14" spans="2:2" ht="15" customHeight="1" x14ac:dyDescent="0.25">
      <c r="B14" s="2" t="s">
        <v>248</v>
      </c>
    </row>
    <row r="15" spans="2:2" ht="15" customHeight="1" x14ac:dyDescent="0.25">
      <c r="B15" s="3" t="s">
        <v>249</v>
      </c>
    </row>
    <row r="16" spans="2:2" ht="15" customHeight="1" x14ac:dyDescent="0.25">
      <c r="B16" s="3" t="s">
        <v>250</v>
      </c>
    </row>
    <row r="17" spans="2:2" ht="15" customHeight="1" x14ac:dyDescent="0.25">
      <c r="B17" s="3" t="s">
        <v>251</v>
      </c>
    </row>
    <row r="18" spans="2:2" ht="15" customHeight="1" x14ac:dyDescent="0.25">
      <c r="B18" s="3" t="s">
        <v>252</v>
      </c>
    </row>
    <row r="19" spans="2:2" ht="15" customHeight="1" x14ac:dyDescent="0.25">
      <c r="B19" s="3" t="s">
        <v>253</v>
      </c>
    </row>
    <row r="20" spans="2:2" ht="39" customHeight="1" x14ac:dyDescent="0.25">
      <c r="B20" s="3" t="s">
        <v>254</v>
      </c>
    </row>
    <row r="22" spans="2:2" ht="15" customHeight="1" x14ac:dyDescent="0.25">
      <c r="B22" s="2" t="s">
        <v>255</v>
      </c>
    </row>
    <row r="23" spans="2:2" ht="26.25" customHeight="1" x14ac:dyDescent="0.25">
      <c r="B23" s="3" t="s">
        <v>256</v>
      </c>
    </row>
    <row r="24" spans="2:2" ht="39" customHeight="1" x14ac:dyDescent="0.25">
      <c r="B24" s="3" t="s">
        <v>257</v>
      </c>
    </row>
    <row r="25" spans="2:2" ht="26.25" customHeight="1" x14ac:dyDescent="0.25">
      <c r="B25" s="3" t="s">
        <v>258</v>
      </c>
    </row>
    <row r="27" spans="2:2" ht="15" customHeight="1" x14ac:dyDescent="0.25">
      <c r="B27" s="2" t="s">
        <v>259</v>
      </c>
    </row>
    <row r="28" spans="2:2" ht="39" customHeight="1" x14ac:dyDescent="0.25">
      <c r="B28" s="3" t="s">
        <v>260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Table 1</vt:lpstr>
      <vt:lpstr>Punteggi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Trasatti</cp:lastModifiedBy>
  <cp:revision>0</cp:revision>
  <dcterms:created xsi:type="dcterms:W3CDTF">2026-09-20T14:59:33Z</dcterms:created>
  <dcterms:modified xsi:type="dcterms:W3CDTF">2026-09-26T04:57:56Z</dcterms:modified>
  <dc:language>en-US</dc:language>
</cp:coreProperties>
</file>