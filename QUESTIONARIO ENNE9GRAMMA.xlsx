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1.2\personale_ok_sync_drive_nas\_DANIELE\PSICOLOGIA\ENNEAGRAMMA\QUESTIONARIO GOOGLE + GITHUB\QUESTIONARIO\"/>
    </mc:Choice>
  </mc:AlternateContent>
  <xr:revisionPtr revIDLastSave="0" documentId="13_ncr:1_{4E28BB84-503C-4A12-A8AE-D4D9E4575656}" xr6:coauthVersionLast="47" xr6:coauthVersionMax="47" xr10:uidLastSave="{00000000-0000-0000-0000-000000000000}"/>
  <bookViews>
    <workbookView xWindow="-120" yWindow="-120" windowWidth="29040" windowHeight="17520" tabRatio="500" firstSheet="1" activeTab="1" xr2:uid="{00000000-000D-0000-FFFF-FFFF00000000}"/>
  </bookViews>
  <sheets>
    <sheet name="Istruzioni" sheetId="1" state="hidden" r:id="rId1"/>
    <sheet name="Table 1" sheetId="2" r:id="rId2"/>
    <sheet name="Punteggi" sheetId="3" r:id="rId3"/>
    <sheet name="Interpretazione" sheetId="4" r:id="rId4"/>
    <sheet name="Verifica qualità" sheetId="5" r:id="rId5"/>
  </sheets>
  <definedNames>
    <definedName name="_xlnm._FilterDatabase" localSheetId="1" hidden="1">'Table 1'!$C$1:$E$1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B23" i="3"/>
  <c r="B22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H5" i="3"/>
  <c r="G5" i="3"/>
  <c r="F5" i="3"/>
  <c r="E5" i="3"/>
  <c r="D5" i="3"/>
  <c r="C5" i="3"/>
  <c r="H4" i="3"/>
  <c r="G4" i="3"/>
  <c r="F4" i="3"/>
  <c r="E4" i="3"/>
  <c r="D4" i="3"/>
  <c r="C4" i="3"/>
  <c r="I4" i="3" l="1"/>
  <c r="J4" i="3" s="1"/>
  <c r="I6" i="3"/>
  <c r="J6" i="3" s="1"/>
  <c r="I8" i="3"/>
  <c r="J8" i="3" s="1"/>
  <c r="I10" i="3"/>
  <c r="J10" i="3" s="1"/>
  <c r="I12" i="3"/>
  <c r="J12" i="3" s="1"/>
  <c r="I7" i="3"/>
  <c r="J7" i="3" s="1"/>
  <c r="I9" i="3"/>
  <c r="J9" i="3" s="1"/>
  <c r="I11" i="3"/>
  <c r="J11" i="3" s="1"/>
  <c r="I5" i="3"/>
  <c r="J5" i="3" s="1"/>
  <c r="B18" i="3" l="1"/>
  <c r="E18" i="3"/>
  <c r="E16" i="3"/>
  <c r="B16" i="3"/>
  <c r="B17" i="3"/>
  <c r="E17" i="3"/>
  <c r="B15" i="3"/>
  <c r="E15" i="3"/>
</calcChain>
</file>

<file path=xl/sharedStrings.xml><?xml version="1.0" encoding="utf-8"?>
<sst xmlns="http://schemas.openxmlformats.org/spreadsheetml/2006/main" count="718" uniqueCount="307">
  <si>
    <t>TEST DELL'ENNEAGRAMMA — Versione revisionata a 162 domande</t>
  </si>
  <si>
    <t>Origine di questo questionario</t>
  </si>
  <si>
    <t>Le 162 domande (18 per ciascuno dei 9 tipi) sono organizzate in 6 faccette omogenee per ogni tipo: Motivazione, Paura, Strategia, Relazioni, Pressione e Approfondimento. Le tre domande di Approfondimento sostituiscono le precedenti domande sulle «Frecce» e sono state formulate per aumentare la capacità di distinguere il tipo e offrire spunti utili al colloquio.</t>
  </si>
  <si>
    <t>Scopo</t>
  </si>
  <si>
    <t>Individuare il tipo di personalità prevalente secondo l'Enneagramma (tipi 1-9) e offrire una base strutturata per discutere il risultato con la persona che compila il questionario.</t>
  </si>
  <si>
    <t>Come si svolge</t>
  </si>
  <si>
    <t>1. Compila il foglio «Test»: per ciascuna delle 162 domande scegli SI o NO dal menu a tendina, in base a come ti comporti abitualmente (non come vorresti essere).</t>
  </si>
  <si>
    <t>2. Non ci sono risposte giuste o sbagliate: rispondi con la prima impressione. Concludi in una o due sedute.</t>
  </si>
  <si>
    <t>3. I punteggi si calcolano automaticamente nel foglio «Punteggi» man mano che inserisci le risposte.</t>
  </si>
  <si>
    <t>Le 6 faccette</t>
  </si>
  <si>
    <t>• Motivazione — il desiderio di fondo che orienta le scelte del tipo.</t>
  </si>
  <si>
    <t>• Paura — la paura o preoccupazione centrale che il tipo cerca di evitare.</t>
  </si>
  <si>
    <t>• Strategia — il modo abituale in cui il tipo agisce per ottenere ciò che gli serve.</t>
  </si>
  <si>
    <t>• Relazioni — come il tipo si comporta nei legami e nei rapporti con gli altri.</t>
  </si>
  <si>
    <t>• Pressione — le reazioni tipiche quando il tipo è sotto stress o affaticamento.</t>
  </si>
  <si>
    <t>• Approfondimento — tre domande aggiuntive pensate per aumentare la capacità di distinguere il tipo e far emergere aspetti utili alla discussione.</t>
  </si>
  <si>
    <t>Come leggere il risultato</t>
  </si>
  <si>
    <t>• Nel foglio «Punteggi», il tipo con il punteggio totale più alto è il tipo principale. Il secondo punteggio più alto indica il «tipo secondario» (non necessariamente adiacente al principale). Le «ali» sono invece un concetto teorico fisso: sono sempre e solo i due tipi numericamente adiacenti al tipo principale (es. le ali del Tipo 4 sono il Tipo 3 e il Tipo 5); il foglio le calcola separatamente, a prescindere dal loro punteggio.</t>
  </si>
  <si>
    <t>• Le 6 colonne di faccette (0-3 per faccetta) mostrano su quali versanti il tipo si esprime di più. Un punteggio alto in Approfondimento non va interpretato separatamente: serve soprattutto come ulteriore elemento di confronto nel colloquio.</t>
  </si>
  <si>
    <t>• Nel foglio «Interpretazione» trovi, per ciascun tipo, desiderio e paura di fondo e indicazioni generali per discutere il risultato con la persona.</t>
  </si>
  <si>
    <t>Note e limiti</t>
  </si>
  <si>
    <t>Questo è uno strumento di auto-conoscenza per facilitare una conversazione, non un test clinico né diagnostico. I risultati dipendono dall'onestà delle risposte e vanno trattati come ipotesi di lavoro da approfondire nel colloquio, non come un'etichetta definitiva.</t>
  </si>
  <si>
    <t>Tipo</t>
  </si>
  <si>
    <t>Faccetta</t>
  </si>
  <si>
    <t>Risposta (SI/NO)</t>
  </si>
  <si>
    <t>Mi accorgo che a volte valuto me stesso in base a quanto sto producendo.</t>
  </si>
  <si>
    <t>Tipo 3 – Il Realizzatore</t>
  </si>
  <si>
    <t>Pressione</t>
  </si>
  <si>
    <t>Temo che un errore importante possa dire qualcosa di negativo sul mio valore come persona.</t>
  </si>
  <si>
    <t>Tipo 1 – Il Riformatore</t>
  </si>
  <si>
    <t>Paura</t>
  </si>
  <si>
    <t>Mi rassicura sapere in anticipo che cosa ci si aspetta da me e che cosa posso aspettarmi dagli altri.</t>
  </si>
  <si>
    <t>Tipo 6 – Il Leale</t>
  </si>
  <si>
    <t>Motivazione</t>
  </si>
  <si>
    <t>Apprezzo gli ambienti in cui so a chi posso rivolgermi in caso di difficoltà.</t>
  </si>
  <si>
    <t>Strategia</t>
  </si>
  <si>
    <t>Mi trovo meglio nelle conversazioni che hanno un contenuto sostanziale rispetto alle chiacchiere generiche.</t>
  </si>
  <si>
    <t>Tipo 5 – L'Osservatore</t>
  </si>
  <si>
    <t>A volte temo di rimanere bloccato in una situazione dolorosa senza una via d’uscita.</t>
  </si>
  <si>
    <t>Tipo 7 – L'Entusiasta</t>
  </si>
  <si>
    <t>Il confronto con ciò che gli altri vivono può farmi percepire più chiaramente cosa sento mancare nella mia esperienza.</t>
  </si>
  <si>
    <t>Tipo 4 – L'Individualista</t>
  </si>
  <si>
    <t>Posso accorgermi che il mio modo di aiutare risponde al bisogno di sentirmi indispensabile più che al bisogno dell’altro.</t>
  </si>
  <si>
    <t>Tipo 2 – L'Altruista</t>
  </si>
  <si>
    <t>Approfondimento</t>
  </si>
  <si>
    <t>Mi capita di dare consigli o aiuto anche quando non mi è stato esplicitamente richiesto.</t>
  </si>
  <si>
    <t>Posso rimandare una decisione perché non sento ancora chiaramente quale sia la mia priorità.</t>
  </si>
  <si>
    <t>Tipo 9 – Il Pacificatore</t>
  </si>
  <si>
    <t>Mi irrita particolarmente sentirmi limitato da qualcuno che non considero autorevole o corretto.</t>
  </si>
  <si>
    <t>Tipo 8 – Il Protettore</t>
  </si>
  <si>
    <t>Posso accumulare informazioni molto oltre il necessario prima di sentirmi pronto ad agire.</t>
  </si>
  <si>
    <t>Faccio fatica a fermarmi quando sento che potrei ottenere ancora qualcosa.</t>
  </si>
  <si>
    <t>Posso accettare una proposta che non desidero davvero pur di evitare il disagio immediato di contraddire qualcuno.</t>
  </si>
  <si>
    <t>Relazioni</t>
  </si>
  <si>
    <t>Le emozioni intense possono diventare una fonte importante di comprensione di me.</t>
  </si>
  <si>
    <t>Mi capita di usare un tono molto diretto quando penso che gli altri non stiano ascoltando.</t>
  </si>
  <si>
    <t>Posso entusiasmare gli altri raccontando ciò che sarebbe possibile fare.</t>
  </si>
  <si>
    <t>Quando devo scegliere, sento il bisogno di capire quale sia la scelta più corretta.</t>
  </si>
  <si>
    <t>Posso perdere di vista ciò che voglio mentre cerco di mantenere l’armonia.</t>
  </si>
  <si>
    <t>Mi interessa capire che cosa rende autentica una persona, compreso me stesso.</t>
  </si>
  <si>
    <t>Quando mi sento poco compreso, posso desiderare che l’altra persona colga la profondità di ciò che provo senza che io debba semplificarlo.</t>
  </si>
  <si>
    <t>Se ricevo una critica, la prima cosa che faccio è verificare se contiene qualcosa di vero.</t>
  </si>
  <si>
    <t>Nelle relazioni professionali mi risulta più naturale collaborare quando c’è un obiettivo comune chiaro da raggiungere.</t>
  </si>
  <si>
    <t>Quando non mi sento considerato dopo essermi impegnato per qualcuno, posso provare una delusione difficile da esprimere.</t>
  </si>
  <si>
    <t>Faccio fatica a chiedere apertamente ciò di cui ho bisogno quando penso che l’altro abbia più necessità di me.</t>
  </si>
  <si>
    <t>Mi interessa acquisire conoscenze che mi permettano di capire come funzionano le cose.</t>
  </si>
  <si>
    <t>Posso riconoscere che una prudenza eccessiva mi ha fatto rinunciare ad opportunità che avrei potuto gestire.</t>
  </si>
  <si>
    <t>Posso entusiasmarmi per un nuovo progetto prima di aver concluso quello precedente, soprattutto quando il nuovo appare più stimolante.</t>
  </si>
  <si>
    <t>Preferisco affrontare direttamente un problema piuttosto che aggirarlo.</t>
  </si>
  <si>
    <t>Mi costa ammettere pubblicamente di non essere riuscito in qualcosa.</t>
  </si>
  <si>
    <t>Posso modificare facilmente le mie preferenze per adattarmi a quelle delle persone con cui mi trovo.</t>
  </si>
  <si>
    <t>Mi mette a disagio l’idea di trovarmi in una posizione in cui dipendo fortemente da un’altra persona.</t>
  </si>
  <si>
    <t>Mi piace poter contare sulle mie competenze senza dover dipendere troppo dagli altri.</t>
  </si>
  <si>
    <t>Anche in una situazione tranquilla, posso anticipare mentalmente possibili problemi per sentirmi più preparato.</t>
  </si>
  <si>
    <t>Mi accorgo che dietro al mio bisogno di correggere c’è spesso la paura di essere giudicato, non solo il desiderio di migliorare le cose.</t>
  </si>
  <si>
    <t>Gli altri mi vedono spesso come la persona che porta energia e allegria nel gruppo.</t>
  </si>
  <si>
    <t>Mi trovo bene con ritmi regolari e con attività che non richiedono continua pressione.</t>
  </si>
  <si>
    <t>Anche quando nessuno mi controlla, tendo a rispettare gli standard che considero corretti.</t>
  </si>
  <si>
    <t>Nelle relazioni mi capita di coinvolgere gli altri in nuove attività o progetti, per condividere con loro entusiasmo e varietà.</t>
  </si>
  <si>
    <t>Le conversazioni vivaci e ricche di idee mi danno energia.</t>
  </si>
  <si>
    <t>Quando percepisco che qualcuno sta occupando troppo del mio tempo, posso sentire il bisogno di recuperare rapidamente autonomia.</t>
  </si>
  <si>
    <t>Quando aiuto qualcuno, mi interessa anche sapere che il mio gesto è stato apprezzato.</t>
  </si>
  <si>
    <t>Ho bisogno di sentire che la mia vita esprime qualcosa di personale e non semplicemente di convenzionale.</t>
  </si>
  <si>
    <t>Una parte di me teme di essere poco interessante se non sta ottenendo risultati.</t>
  </si>
  <si>
    <t>Quando qualcuno cerca di imporsi su una persona che considero più debole o indifesa, sento facilmente il bisogno di intervenire.</t>
  </si>
  <si>
    <t>Una parte di me vorrebbe sentirsi più sicura senza dover controllare continuamente ciò che accade.</t>
  </si>
  <si>
    <t>Quando due persone sono in disaccordo, mi viene spontaneo cercare ciò che entrambe possono accettare.</t>
  </si>
  <si>
    <t>Quando noto che qualcosa potrebbe essere fatto meglio, mi viene spontaneo cercare come correggerlo.</t>
  </si>
  <si>
    <t>Nelle relazioni cerco di comportarmi in modo corretto anche quando sono arrabbiato.</t>
  </si>
  <si>
    <t>Quando non ho abbastanza elementi per orientarmi, cerco spesso il parere di qualcuno di cui riconosco l’esperienza o l’affidabilità.</t>
  </si>
  <si>
    <t>Mi capita di cercare vicinanza emotiva attraverso ciò che faccio per una persona.</t>
  </si>
  <si>
    <t>Sotto pressione, le emozioni possono prendere molto spazio nella mia percezione della situazione.</t>
  </si>
  <si>
    <t>Quando provo emozioni molto intense, posso prendere distanza da ciò che sento per osservarlo e comprenderlo mentalmente.</t>
  </si>
  <si>
    <t>Mi interessa capire rapidamente se una persona è abbastanza forte o affidabile da reggere un confronto diretto.</t>
  </si>
  <si>
    <t>Quando lavoro in gruppo, tendo naturalmente a orientare le persone verso un risultato.</t>
  </si>
  <si>
    <t>Mi capita di immaginare scenari negativi per prepararmi a eventuali problemi.</t>
  </si>
  <si>
    <t>Le persone spesso si rivolgono a me per trovare un equilibrio quando sono in disaccordo.</t>
  </si>
  <si>
    <t>Posso concentrarmi molto su ciò che sento di non avere rispetto a ciò che possiedo.</t>
  </si>
  <si>
    <t>Preferisco una verità scomoda a una situazione apparentemente tranquilla ma poco sincera.</t>
  </si>
  <si>
    <t>Posso perdere interesse quando un progetto entra nella fase ripetitiva e meno stimolante.</t>
  </si>
  <si>
    <t>Posso dare priorità all’efficienza anche a scapito del tempo per me stesso.</t>
  </si>
  <si>
    <t>A volte temo che, se non fossi utile agli altri, perderei una parte importante del loro affetto.</t>
  </si>
  <si>
    <t>Prima di offrire tempo o competenze, tendo a valutare attentamente quanto di me sto mettendo a disposizione.</t>
  </si>
  <si>
    <t>Mi pesa sapere di aver agito contro un principio che considero importante, anche se nessuno lo ha notato.</t>
  </si>
  <si>
    <t>Mi è difficile accettare che una cosa possa essere accettabile anche se non è fatta nel modo che ritengo migliore.</t>
  </si>
  <si>
    <t>Quando una situazione diventa tesa, la mia prima reazione può essere quella di fare un passo indietro.</t>
  </si>
  <si>
    <t>Preferisco assumermi direttamente la responsabilità di una decisione piuttosto che lasciare che altri decidano per me.</t>
  </si>
  <si>
    <t>Mi accorgo spontaneamente di ciò di cui una persona ha bisogno, anche prima che lo chieda.</t>
  </si>
  <si>
    <t>Mi motiva sapere che sto ottenendo risultati concreti.</t>
  </si>
  <si>
    <t>Quando un’emozione è intensa, posso avere difficoltà a considerare la situazione con la stessa distanza con cui la vedrei in un altro momento.</t>
  </si>
  <si>
    <t>Mi accorgo che tendo a trasformare rapidamente un’esperienza negativa in un’altra possibilità.</t>
  </si>
  <si>
    <t>Se una persona che considero affidabile mi delude, posso continuare a chiedermi per un po’ se posso ancora fidarmi di lei.</t>
  </si>
  <si>
    <t>Posso dubitare della mia prima decisione anche dopo averla presa.</t>
  </si>
  <si>
    <t>Posso sentirmi impreparato quando devo agire senza aver avuto il tempo di raccogliere informazioni.</t>
  </si>
  <si>
    <t>Per me sentirmi importante per qualcuno ha un forte valore emotivo.</t>
  </si>
  <si>
    <t>L’idea di rinunciare a possibilità future può pesarmi più della difficoltà di portare avanti molte alternative insieme.</t>
  </si>
  <si>
    <t>Quando ascolto due persone in conflitto, riesco a comprendere entrambe le posizioni.</t>
  </si>
  <si>
    <t>Sotto pressione, tendo a ritirarmi e a osservare la situazione invece di reagire immediatamente.</t>
  </si>
  <si>
    <t>Quando avverto che qualcuno sta cercando di controllarmi, tendo a reagire difendendo con forza il mio spazio di autonomia.</t>
  </si>
  <si>
    <t>Posso sentirmi particolarmente sensibile quando penso di essere escluso o non compreso.</t>
  </si>
  <si>
    <t>Mi costa accettare l’idea di fallire in qualcosa che considero importante per la mia immagine.</t>
  </si>
  <si>
    <t>Quando ricevo attenzione o affetto, posso sentire il bisogno di ricambiare rendendomi utile o facendo qualcosa per l’altra persona.</t>
  </si>
  <si>
    <t>Posso continuare a offrire aiuto anche quando una parte di me vorrebbe che l’altro riconoscesse ciò che sto facendo.</t>
  </si>
  <si>
    <t>Preferisco mostrare ciò che so fare piuttosto che spiegare a lungo ciò che provo.</t>
  </si>
  <si>
    <t>Quando mi pongo un obiettivo, tendo a organizzarmi rapidamente per raggiungerlo.</t>
  </si>
  <si>
    <t>Posso attribuire un significato particolare a ciò che mi manca, anche quando riconosco di avere già molte cose importanti.</t>
  </si>
  <si>
    <t>Prima di esprimere un’opinione, cerco di distinguere i fatti dalle interpretazioni.</t>
  </si>
  <si>
    <t>Mi accorgo rapidamente delle incongruenze tra ciò che viene detto e ciò che viene fatto.</t>
  </si>
  <si>
    <t>Una parte di me considera la vulnerabilità qualcosa da mostrare soltanto a pochissime persone.</t>
  </si>
  <si>
    <t>Quando qualcosa mi fa soffrire, posso cercare rapidamente un’alternativa che mi distragga.</t>
  </si>
  <si>
    <t>Mi capita di accorgermi solo dopo un po’ che sono arrabbiato, perché inizialmente tendo a mettere da parte ciò che mi disturba.</t>
  </si>
  <si>
    <t>Sotto pressione, tendo ad aumentare i controlli e le verifiche prima di agire, anche se questo rallenta le cose.</t>
  </si>
  <si>
    <t>Quando vedo qualcuno approfittarsi della propria posizione, posso sentire un impulso immediato a contrastarlo.</t>
  </si>
  <si>
    <t>Ho bisogno di sentire che nell’ambiente intorno a me c’è un certo clima di tranquillità.</t>
  </si>
  <si>
    <t>Prima di sostenere apertamente la mia posizione, tendo a capire come la vedono le altre persone coinvolte.</t>
  </si>
  <si>
    <t>Posso riconoscere che il mio bisogno di essere compreso senza spiegarmi, a volte, allontana le persone che mi vogliono bene.</t>
  </si>
  <si>
    <t>Se devo scegliere tra ciò che è più facile e ciò che ritengo più giusto, posso sentire disagio nel privilegiare la comodità.</t>
  </si>
  <si>
    <t>Mi accorgo che il mio bisogno di prepararmi a fondo a volte mi fa perdere occasioni importanti che avrei potuto vivere.</t>
  </si>
  <si>
    <t>Quando mi sento insicuro, parlare con una persona di fiducia mi aiuta a chiarire la situazione.</t>
  </si>
  <si>
    <t>Mi piace alternare attività e interessi per evitare di sentirmi bloccato.</t>
  </si>
  <si>
    <t>Posso accorgermi che il mio bisogno di controllare la situazione a volte allontana le persone che vorrei proteggere.</t>
  </si>
  <si>
    <t>Mi capita di desiderare che gli altri colgano spontaneamente ciò che provo, senza che io debba spiegarlo completamente.</t>
  </si>
  <si>
    <t>Quando mi arrabbio, tendo a trattenere o controllare l’espressione della rabbia per mantenere un comportamento che considero corretto.</t>
  </si>
  <si>
    <t>Mi sento più tranquillo quando ho criteri chiari con cui valutare ciò che faccio.</t>
  </si>
  <si>
    <t>Posso mettere alla prova una persona proprio quando desidero capire se posso davvero affidarmi a lei.</t>
  </si>
  <si>
    <t>Quando sono sotto pressione, posso aumentare il mio coinvolgimento nella vita degli altri.</t>
  </si>
  <si>
    <t>Quando qualcuno che considero importante soffre, posso sentire il bisogno di esserci e di rendermi concretamente utile.</t>
  </si>
  <si>
    <t>Quando non so ancora come muovermi, osservo quali comportamenti sembrano portare al successo e posso adottarli rapidamente.</t>
  </si>
  <si>
    <t>Mi è capitato di accorgermi, solo dopo, che evitando il dolore ho evitato anche esperienze che mi avrebbero fatto crescere.</t>
  </si>
  <si>
    <t>Prima di impegnarmi in qualcosa, tendo a valutare quanto tempo, energia e attenzione mi richiederà.</t>
  </si>
  <si>
    <t>Mi capita di raccontarmi una situazione in modo più positivo di come la sto vivendo, soprattutto quando riconoscere la difficoltà mi farebbe sentire limitato.</t>
  </si>
  <si>
    <t>Se un modo di comportarmi non produce il risultato atteso, posso cambiare rapidamente atteggiamento senza soffermarmi molto su come mi sento.</t>
  </si>
  <si>
    <t>Mi viene naturale presentare le mie esperienze mettendo in evidenza ciò che ho imparato, ottenuto o realizzato.</t>
  </si>
  <si>
    <t>Una parte di me teme di non avere abbastanza risorse personali per affrontare ciò che viene richiesto.</t>
  </si>
  <si>
    <t>Quando mi fido davvero di qualcuno, posso essere molto protettivo e coinvolto, anche se non mostro facilmente questa parte di me.</t>
  </si>
  <si>
    <t>Preferisco un rapporto autentico e profondo a molti rapporti superficiali.</t>
  </si>
  <si>
    <t>Di fronte a un’autorità, posso alternare il desiderio di affidarmi alle sue indicazioni e quello di verificare personalmente che siano corrette.</t>
  </si>
  <si>
    <t>A volte temo che affermare con troppa forza ciò che voglio possa creare una separazione difficile da ricomporre.</t>
  </si>
  <si>
    <t>Quando mi fermo a chiedermi che cosa desidero per me, posso accorgermi che ho dato più attenzione ai bisogni degli altri che ai miei.</t>
  </si>
  <si>
    <t>Nei rapporti stretti, mi assumo spesso il ruolo di chi protegge o difende l’altro.</t>
  </si>
  <si>
    <t>Posso accorgermi di aver mostrato durezza in una situazione in cui avrei potuto esprimere più chiaramente ciò che provavo.</t>
  </si>
  <si>
    <t>Mi dà energia sapere che una situazione può aprire strade diverse e che non sono costretto a scegliere subito.</t>
  </si>
  <si>
    <t>Quando una scelta comporta conseguenze difficili da modificare, posso cercare ulteriori conferme prima di considerarla sufficientemente sicura.</t>
  </si>
  <si>
    <t>Mi attirano espressioni artistiche o simboliche che riescono a comunicare emozioni difficili da spiegare.</t>
  </si>
  <si>
    <t>Quando qualcosa non è fatto come dovrebbe, faccio fatica a lasciar correre.</t>
  </si>
  <si>
    <t>Mi proteggo dall’invadenza degli altri mantenendo una parte della mia vita molto privata.</t>
  </si>
  <si>
    <t>Quando gli altri esprimono con forza ciò che vogliono, posso adattarmi alla loro direzione prima di verificare che cosa voglio realmente io.</t>
  </si>
  <si>
    <t>Mi piace essere riconosciuto per ciò che riesco a realizzare.</t>
  </si>
  <si>
    <t>Dopo molte interazioni, sento il bisogno di ritrovare uno spazio mentale in cui nessuno mi chieda nulla.</t>
  </si>
  <si>
    <t>Posso sapere che cosa vorrei fare, ma rimandare l’azione perché iniziare mi costringerebbe a interrompere la tranquillità del momento.</t>
  </si>
  <si>
    <t>Posso idealizzare ciò che ancora non ho e svalutare ciò che è già presente nella mia vita.</t>
  </si>
  <si>
    <t>Posso diventare esigente quando penso che una persona non stia dando il meglio di sé.</t>
  </si>
  <si>
    <t>Posso accettare di occuparmi dei bisogni di una persona anche quando questo significa rinunciare a qualcosa che avevo previsto per me.</t>
  </si>
  <si>
    <t>Una volta consolidata la fiducia in una persona, tendo a restare molto fedele e presente nel rapporto, anche nei momenti difficili.</t>
  </si>
  <si>
    <t>Nelle relazioni, tendo a evitare le conversazioni troppo pesanti o dolorose, spostando il discorso su un tono più leggero.</t>
  </si>
  <si>
    <t>A volte temo che, se non avessi qualcosa di particolare che mi distingue, potrei sentirmi poco significativo.</t>
  </si>
  <si>
    <t>Mi irrita essere spinto a parlare quando non ho ancora elaborato ciò che penso.</t>
  </si>
  <si>
    <t>Mi capita di privilegiare l’immagine che risulta più efficace in una situazione, anche se non coincide del tutto con ciò che sento in quel momento.</t>
  </si>
  <si>
    <t>Prima di fidarmi di una situazione, cerco di individuare ciò che potrebbe andare storto.</t>
  </si>
  <si>
    <t>Mi è difficile interrompere un’attività piacevole o familiare per affrontare qualcosa che percepisco come scomodo.</t>
  </si>
  <si>
    <t>Anche quando riconosco che una scelta è necessaria, posso continuare a cercare una soluzione che mi permetta di non rinunciare del tutto alle alternative.</t>
  </si>
  <si>
    <t>Mi irrita quando una regola viene applicata in modo incoerente o secondo convenienza.</t>
  </si>
  <si>
    <t>Se mi sento provocato, posso reagire prima di aver valutato tutte le conseguenze.</t>
  </si>
  <si>
    <t>Se qualcuno si allontana dopo che mi sono impegnato molto per lui, posso chiedermi che cosa abbia sbagliato.</t>
  </si>
  <si>
    <t>Quando qualcuno rifiuta il mio aiuto, posso chiedermi se non abbia riconosciuto quanto tenevo a quella persona.</t>
  </si>
  <si>
    <t>Se in un gruppo nessuno prende una decisione, posso assumere spontaneamente la guida senza aspettare che me lo chiedano.</t>
  </si>
  <si>
    <t>Mi accorgo che mantenere l’armonia a ogni costo a volte mi costa più di quanto mi fa evitare.</t>
  </si>
  <si>
    <t>Quando una persona o un’autorità perde la mia fiducia, posso diventare molto prudente nel seguirla.</t>
  </si>
  <si>
    <t>Quando sono sotto pressione, aumento il controllo invece di lasciarmi andare.</t>
  </si>
  <si>
    <t>Il modo in cui un luogo, un oggetto o una persona mi fa sentire può influenzare molto il mio giudizio su di essi.</t>
  </si>
  <si>
    <t>Quando un impegno diventa vincolante o ripetitivo, posso sentire il bisogno di riaprire altre possibilità.</t>
  </si>
  <si>
    <t>Mi è capitato di sentirmi svuotato dopo aver raggiunto un obiettivo a cui avevo dedicato molto di me.</t>
  </si>
  <si>
    <t>Quando le richieste esterne aumentano molto, posso ridurre al minimo le interazioni per conservare le mie energie.</t>
  </si>
  <si>
    <t>Quando una situazione diventa pesante, cerco spontaneamente qualcosa che possa renderla più leggera.</t>
  </si>
  <si>
    <t>Per me la lealtà verso le persone e gli impegni presi ha un valore importante.</t>
  </si>
  <si>
    <t>Sotto pressione, aumento intensità e controllo della situazione invece di ritirarmi.</t>
  </si>
  <si>
    <t>Mi capita di correggere mentalmente il comportamento degli altri anche senza dirlo.</t>
  </si>
  <si>
    <t>Mi capita di chiedermi quale significato abbia per me un’esperienza anche quando per gli altri potrebbe sembrare poco importante.</t>
  </si>
  <si>
    <t>Prima di intervenire in una situazione, preferisco comprenderla a fondo.</t>
  </si>
  <si>
    <t>Nei momenti di conflitto, tendo a mediare più che a schierarmi apertamente da una parte.</t>
  </si>
  <si>
    <t>Quando un obiettivo è importante, posso mettere temporaneamente in secondo piano stanchezza, bisogni personali o emozioni.</t>
  </si>
  <si>
    <t>Nelle relazioni più strette, tendo a mettere i bisogni dell’altro prima dei miei, anche senza che me lo chieda esplicitamente.</t>
  </si>
  <si>
    <t>PUNTEGGI AUTOMATICI</t>
  </si>
  <si>
    <t>Nome</t>
  </si>
  <si>
    <t>Totale (max 18)</t>
  </si>
  <si>
    <t>%</t>
  </si>
  <si>
    <t>Tipo 1</t>
  </si>
  <si>
    <t>Il Riformatore</t>
  </si>
  <si>
    <t>Tipo 2</t>
  </si>
  <si>
    <t>L'Altruista</t>
  </si>
  <si>
    <t>Tipo 3</t>
  </si>
  <si>
    <t>Il Realizzatore</t>
  </si>
  <si>
    <t>Tipo 4</t>
  </si>
  <si>
    <t>L'Individualista</t>
  </si>
  <si>
    <t>Tipo 5</t>
  </si>
  <si>
    <t>L'Osservatore</t>
  </si>
  <si>
    <t>Tipo 6</t>
  </si>
  <si>
    <t>Il Leale</t>
  </si>
  <si>
    <t>Tipo 7</t>
  </si>
  <si>
    <t>L'Entusiasta</t>
  </si>
  <si>
    <t>Tipo 8</t>
  </si>
  <si>
    <t>Il Protettore</t>
  </si>
  <si>
    <t>Tipo 9</t>
  </si>
  <si>
    <t>Il Pacificatore</t>
  </si>
  <si>
    <t>CLASSIFICAZIONE</t>
  </si>
  <si>
    <t>Tipo principale</t>
  </si>
  <si>
    <t>Punteggio tipo principale</t>
  </si>
  <si>
    <t>Tipo secondario</t>
  </si>
  <si>
    <t>Punteggio tipo secondario</t>
  </si>
  <si>
    <t>Ala sinistra (Tipo N-1)</t>
  </si>
  <si>
    <t>Punteggio ala sinistra</t>
  </si>
  <si>
    <t>Ala destra (Tipo N+1)</t>
  </si>
  <si>
    <t>Punteggio ala destra</t>
  </si>
  <si>
    <t>Le ali sono sempre i due tipi numericamente adiacenti al tipo principale (fissi per teoria); il tipo secondario è invece il tipo con il secondo punteggio più alto, qualunque esso sia — può coincidere con un'ala oppure no.</t>
  </si>
  <si>
    <t>CONTROLLO COMPILAZIONE</t>
  </si>
  <si>
    <t>Risposte SI totali</t>
  </si>
  <si>
    <t>Risposte NO totali</t>
  </si>
  <si>
    <t>Domande senza risposta</t>
  </si>
  <si>
    <t>Il tipo principale è quello con il punteggio totale più alto. Le ali sono i due tipi teoricamente adiacenti al tipo principale; il tipo secondario è il tipo (qualunque esso sia) con il secondo punteggio più alto. La faccetta «Approfondimento» raccoglie tre domande aggiuntive pensate per migliorare la distinzione del tipo e fornire spunti utili alla discussione.</t>
  </si>
  <si>
    <t>INTERPRETAZIONE DEI RISULTATI</t>
  </si>
  <si>
    <t>Come usare questo foglio</t>
  </si>
  <si>
    <t>1) Nel foglio «Punteggi» individua il tipo principale e il secondo tipo. 2) Leggi qui la scheda del tipo principale: desiderio e paura di fondo e indicazioni per discuterne. 3) Nel colloquio, chiedi esempi concreti e verifica soprattutto se le motivazioni e le paure descritte corrispondono all'esperienza della persona. 4) Usa il punteggio di «Approfondimento» come ulteriore elemento di confronto, non come criterio autonomo di classificazione.</t>
  </si>
  <si>
    <t>TIPO 1 – IL RIFORMATORE</t>
  </si>
  <si>
    <t>Desiderio fondamentale</t>
  </si>
  <si>
    <t>essere buono/a, integro/a e coerente; migliorare sé stesso/a e la realtà che lo/la circonda</t>
  </si>
  <si>
    <t>Paura fondamentale</t>
  </si>
  <si>
    <t>essere cattivo/a, corrotto/a o moralmente difettoso/a</t>
  </si>
  <si>
    <t>Punti di approfondimento</t>
  </si>
  <si>
    <t>Usa le quattro domande di Approfondimento del questionario per verificare con esempi concreti se questi aspetti sono realmente caratteristici della persona, senza considerarli da soli sufficienti a determinare il tipo.</t>
  </si>
  <si>
    <t>Confronto nel colloquio</t>
  </si>
  <si>
    <t>Chiedi alla persona quali risposte sente più profondamente proprie, quali invece descrivono solo comportamenti occasionali e soprattutto quale motivazione o paura riconosce dietro quei comportamenti.</t>
  </si>
  <si>
    <t>Come discuterne</t>
  </si>
  <si>
    <t>Chiedi esempi concreti recenti e verifica se le motivazioni, le paure e le strategie descritte corrispondono realmente all'esperienza della persona.</t>
  </si>
  <si>
    <t>TIPO 2 – L'ALTRUISTA</t>
  </si>
  <si>
    <t>sentirsi amato/a ed essere indispensabile per le persone a cui tiene</t>
  </si>
  <si>
    <t>non essere degno/a di amore se non si rende utile agli altri</t>
  </si>
  <si>
    <t>TIPO 3 – IL REALIZZATORE</t>
  </si>
  <si>
    <t>sentirsi di valore attraverso risultati visibili e riconoscimento</t>
  </si>
  <si>
    <t>non avere alcun valore agli occhi degli altri se non ottiene risultati</t>
  </si>
  <si>
    <t>TIPO 4 – L'INDIVIDUALISTA</t>
  </si>
  <si>
    <t>trovare ed esprimere la propria identità autentica e unica</t>
  </si>
  <si>
    <t>non avere un'identità o un significato personale distinto dagli altri</t>
  </si>
  <si>
    <t>TIPO 5 – L'OSSERVATORE</t>
  </si>
  <si>
    <t>sentirsi competente e autosufficiente attraverso la conoscenza</t>
  </si>
  <si>
    <t>essere sopraffatto/a da richieste per cui non si sente preparato/a</t>
  </si>
  <si>
    <t>TIPO 6 – IL LEALE</t>
  </si>
  <si>
    <t>avere sicurezza, guida e punti di riferimento affidabili</t>
  </si>
  <si>
    <t>restare senza sostegno o protezione di fronte al pericolo</t>
  </si>
  <si>
    <t>TIPO 7 – L'ENTUSIASTA</t>
  </si>
  <si>
    <t>mantenersi felice, soddisfatto/a e libero/a di esplorare possibilità</t>
  </si>
  <si>
    <t>restare intrappolato/a nel dolore o nella privazione</t>
  </si>
  <si>
    <t>TIPO 8 – IL PROTETTORE</t>
  </si>
  <si>
    <t>proteggere sé stesso/a e le persone care restando forte e autonomo/a</t>
  </si>
  <si>
    <t>essere controllato/a o danneggiato/a da altri</t>
  </si>
  <si>
    <t>TIPO 9 – IL PACIFICATORE</t>
  </si>
  <si>
    <t>mantenere pace interiore ed esteriore, evitando il conflitto</t>
  </si>
  <si>
    <t>perdere la connessione con gli altri e con sé stesso/a a causa del conflitto</t>
  </si>
  <si>
    <t>N. domande</t>
  </si>
  <si>
    <t>Valutazione complessiva</t>
  </si>
  <si>
    <t>Ridondanze residue</t>
  </si>
  <si>
    <t>Osservazione</t>
  </si>
  <si>
    <t>18</t>
  </si>
  <si>
    <t>Molto buona</t>
  </si>
  <si>
    <t>Basse</t>
  </si>
  <si>
    <t>Buon equilibrio tra principi, autocontrollo, perfezionismo e critica; le domande 16-18 restano utili come approfondimento.</t>
  </si>
  <si>
    <t>Buona distinzione tra cura, bisogno di essere importante, difficoltà a chiedere e bisogno di riconoscimento.</t>
  </si>
  <si>
    <t>Medio-basse</t>
  </si>
  <si>
    <t>Forte copertura di risultato, immagine e adattamento; alcune domande restano vicine ma esplorano sfumature diverse.</t>
  </si>
  <si>
    <t>Medie</t>
  </si>
  <si>
    <t>Ricca copertura di autenticità, mancanza, confronto, intensità emotiva e bisogno di essere compreso; qualche area è inevitabilmente vicina.</t>
  </si>
  <si>
    <t>Buona copertura di competenza, autonomia, privacy e gestione delle risorse; ritirarsi/limitare i contatti rimane un'area con più domande.</t>
  </si>
  <si>
    <t>Molto buona distinzione tra prudenza, dubbio, lealtà, autorità e bisogno di conferma; alcune domande su affidabilità sono vicine.</t>
  </si>
  <si>
    <t>Ottima copertura di possibilità, evitamento del dolore, stimolazione e difficoltà a rinunciare; alcune domande sulle alternative sono volutamente convergenti.</t>
  </si>
  <si>
    <t>Buona distinzione tra autonomia, confronto, protezione, vulnerabilità e uso della forza.</t>
  </si>
  <si>
    <t>Buona copertura di armonia, adattamento, inerzia, conflitto e perdita di priorità personali; alcune domande su mediazione/adattamento sono vicine.</t>
  </si>
  <si>
    <t>Legenda</t>
  </si>
  <si>
    <t>Forte</t>
  </si>
  <si>
    <t>Domanda fortemente pertinente e utile a distinguere il tipo</t>
  </si>
  <si>
    <t>Buona</t>
  </si>
  <si>
    <t>Pertinente e utile, ma non necessariamente molto discriminante da sola</t>
  </si>
  <si>
    <t>Da monitorare</t>
  </si>
  <si>
    <t>Pertinente ma parzialmente sovrapponibile ad altre domande</t>
  </si>
  <si>
    <t>Criterio finale</t>
  </si>
  <si>
    <t>Il questionario è considerato adatto come base esplorativa per una discussione con il compilatore, non come strumento diagnostico o psicometrico validato.</t>
  </si>
  <si>
    <t>DOMANDA</t>
  </si>
  <si>
    <t>ESITO TESTO</t>
  </si>
  <si>
    <t>ESITO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</si>
</sst>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4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7" fillId="0" borderId="0" xfId="0" applyFont="1"/>
    <xf numFmtId="0" fontId="6" fillId="0" borderId="0" xfId="0" applyFont="1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00" customWidth="1"/>
  </cols>
  <sheetData>
    <row r="1" spans="2:2" ht="32.25" customHeight="1" x14ac:dyDescent="0.25">
      <c r="B1" s="1" t="s">
        <v>0</v>
      </c>
    </row>
    <row r="3" spans="2:2" ht="15" customHeight="1" x14ac:dyDescent="0.25">
      <c r="B3" s="2" t="s">
        <v>1</v>
      </c>
    </row>
    <row r="4" spans="2:2" ht="51.75" customHeight="1" x14ac:dyDescent="0.25">
      <c r="B4" s="3" t="s">
        <v>2</v>
      </c>
    </row>
    <row r="6" spans="2:2" ht="15" customHeight="1" x14ac:dyDescent="0.25">
      <c r="B6" s="2" t="s">
        <v>3</v>
      </c>
    </row>
    <row r="7" spans="2:2" ht="39" customHeight="1" x14ac:dyDescent="0.25">
      <c r="B7" s="3" t="s">
        <v>4</v>
      </c>
    </row>
    <row r="9" spans="2:2" ht="15" customHeight="1" x14ac:dyDescent="0.25">
      <c r="B9" s="2" t="s">
        <v>5</v>
      </c>
    </row>
    <row r="10" spans="2:2" ht="26.25" customHeight="1" x14ac:dyDescent="0.25">
      <c r="B10" s="3" t="s">
        <v>6</v>
      </c>
    </row>
    <row r="11" spans="2:2" ht="15" customHeight="1" x14ac:dyDescent="0.25">
      <c r="B11" s="3" t="s">
        <v>7</v>
      </c>
    </row>
    <row r="12" spans="2:2" ht="15" customHeight="1" x14ac:dyDescent="0.25">
      <c r="B12" s="3" t="s">
        <v>8</v>
      </c>
    </row>
    <row r="14" spans="2:2" ht="15" customHeight="1" x14ac:dyDescent="0.25">
      <c r="B14" s="2" t="s">
        <v>9</v>
      </c>
    </row>
    <row r="15" spans="2:2" ht="15" customHeight="1" x14ac:dyDescent="0.25">
      <c r="B15" s="3" t="s">
        <v>10</v>
      </c>
    </row>
    <row r="16" spans="2:2" ht="15" customHeight="1" x14ac:dyDescent="0.25">
      <c r="B16" s="3" t="s">
        <v>11</v>
      </c>
    </row>
    <row r="17" spans="2:2" ht="15" customHeight="1" x14ac:dyDescent="0.25">
      <c r="B17" s="3" t="s">
        <v>12</v>
      </c>
    </row>
    <row r="18" spans="2:2" ht="15" customHeight="1" x14ac:dyDescent="0.25">
      <c r="B18" s="3" t="s">
        <v>13</v>
      </c>
    </row>
    <row r="19" spans="2:2" ht="15" customHeight="1" x14ac:dyDescent="0.25">
      <c r="B19" s="3" t="s">
        <v>14</v>
      </c>
    </row>
    <row r="20" spans="2:2" ht="39" customHeight="1" x14ac:dyDescent="0.25">
      <c r="B20" s="3" t="s">
        <v>15</v>
      </c>
    </row>
    <row r="22" spans="2:2" ht="15" customHeight="1" x14ac:dyDescent="0.25">
      <c r="B22" s="2" t="s">
        <v>16</v>
      </c>
    </row>
    <row r="23" spans="2:2" ht="26.25" customHeight="1" x14ac:dyDescent="0.25">
      <c r="B23" s="3" t="s">
        <v>17</v>
      </c>
    </row>
    <row r="24" spans="2:2" ht="39" customHeight="1" x14ac:dyDescent="0.25">
      <c r="B24" s="3" t="s">
        <v>18</v>
      </c>
    </row>
    <row r="25" spans="2:2" ht="26.25" customHeight="1" x14ac:dyDescent="0.25">
      <c r="B25" s="3" t="s">
        <v>19</v>
      </c>
    </row>
    <row r="27" spans="2:2" ht="15" customHeight="1" x14ac:dyDescent="0.25">
      <c r="B27" s="2" t="s">
        <v>20</v>
      </c>
    </row>
    <row r="28" spans="2:2" ht="39" customHeight="1" x14ac:dyDescent="0.25">
      <c r="B28" s="3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3"/>
  <sheetViews>
    <sheetView tabSelected="1" zoomScaleNormal="100" workbookViewId="0">
      <pane ySplit="1" topLeftCell="A2" activePane="bottomLeft" state="frozen"/>
      <selection pane="bottomLeft" activeCell="B34" sqref="B34"/>
    </sheetView>
  </sheetViews>
  <sheetFormatPr defaultColWidth="8.7109375" defaultRowHeight="15" x14ac:dyDescent="0.25"/>
  <cols>
    <col min="1" max="1" width="18.42578125" customWidth="1"/>
    <col min="2" max="2" width="26" customWidth="1"/>
    <col min="3" max="3" width="90" customWidth="1"/>
    <col min="4" max="4" width="14" hidden="1" customWidth="1"/>
    <col min="5" max="5" width="20" hidden="1" customWidth="1"/>
  </cols>
  <sheetData>
    <row r="1" spans="1:5" ht="15" customHeight="1" x14ac:dyDescent="0.25">
      <c r="A1" s="4" t="s">
        <v>306</v>
      </c>
      <c r="B1" s="4" t="s">
        <v>305</v>
      </c>
      <c r="C1" s="4" t="s">
        <v>304</v>
      </c>
      <c r="D1" s="4" t="s">
        <v>23</v>
      </c>
      <c r="E1" s="4" t="s">
        <v>24</v>
      </c>
    </row>
    <row r="2" spans="1:5" ht="15" customHeight="1" x14ac:dyDescent="0.25">
      <c r="A2" s="6">
        <v>3</v>
      </c>
      <c r="B2" s="5" t="s">
        <v>26</v>
      </c>
      <c r="C2" s="6" t="s">
        <v>25</v>
      </c>
      <c r="D2" s="5" t="s">
        <v>27</v>
      </c>
      <c r="E2" s="5"/>
    </row>
    <row r="3" spans="1:5" ht="26.25" customHeight="1" x14ac:dyDescent="0.25">
      <c r="A3" s="6">
        <v>1</v>
      </c>
      <c r="B3" s="5" t="s">
        <v>29</v>
      </c>
      <c r="C3" s="6" t="s">
        <v>28</v>
      </c>
      <c r="D3" s="5" t="s">
        <v>30</v>
      </c>
      <c r="E3" s="5"/>
    </row>
    <row r="4" spans="1:5" ht="26.25" customHeight="1" x14ac:dyDescent="0.25">
      <c r="A4" s="6">
        <v>6</v>
      </c>
      <c r="B4" s="5" t="s">
        <v>32</v>
      </c>
      <c r="C4" s="6" t="s">
        <v>31</v>
      </c>
      <c r="D4" s="5" t="s">
        <v>33</v>
      </c>
      <c r="E4" s="5"/>
    </row>
    <row r="5" spans="1:5" ht="15" customHeight="1" x14ac:dyDescent="0.25">
      <c r="A5" s="6">
        <v>6</v>
      </c>
      <c r="B5" s="5" t="s">
        <v>32</v>
      </c>
      <c r="C5" s="6" t="s">
        <v>34</v>
      </c>
      <c r="D5" s="5" t="s">
        <v>35</v>
      </c>
      <c r="E5" s="5"/>
    </row>
    <row r="6" spans="1:5" ht="15" customHeight="1" x14ac:dyDescent="0.25">
      <c r="A6" s="6">
        <v>5</v>
      </c>
      <c r="B6" s="5" t="s">
        <v>37</v>
      </c>
      <c r="C6" s="6" t="s">
        <v>36</v>
      </c>
      <c r="D6" s="5" t="s">
        <v>35</v>
      </c>
      <c r="E6" s="5"/>
    </row>
    <row r="7" spans="1:5" ht="15" customHeight="1" x14ac:dyDescent="0.25">
      <c r="A7" s="6">
        <v>7</v>
      </c>
      <c r="B7" s="5" t="s">
        <v>39</v>
      </c>
      <c r="C7" s="6" t="s">
        <v>38</v>
      </c>
      <c r="D7" s="5" t="s">
        <v>30</v>
      </c>
      <c r="E7" s="5"/>
    </row>
    <row r="8" spans="1:5" ht="15" customHeight="1" x14ac:dyDescent="0.25">
      <c r="A8" s="6">
        <v>4</v>
      </c>
      <c r="B8" s="5" t="s">
        <v>41</v>
      </c>
      <c r="C8" s="6" t="s">
        <v>40</v>
      </c>
      <c r="D8" s="5" t="s">
        <v>35</v>
      </c>
      <c r="E8" s="5"/>
    </row>
    <row r="9" spans="1:5" ht="15" customHeight="1" x14ac:dyDescent="0.25">
      <c r="A9" s="6">
        <v>2</v>
      </c>
      <c r="B9" s="5" t="s">
        <v>43</v>
      </c>
      <c r="C9" s="6" t="s">
        <v>42</v>
      </c>
      <c r="D9" s="5" t="s">
        <v>44</v>
      </c>
      <c r="E9" s="5"/>
    </row>
    <row r="10" spans="1:5" ht="15" customHeight="1" x14ac:dyDescent="0.25">
      <c r="A10" s="6">
        <v>2</v>
      </c>
      <c r="B10" s="5" t="s">
        <v>43</v>
      </c>
      <c r="C10" s="6" t="s">
        <v>45</v>
      </c>
      <c r="D10" s="5" t="s">
        <v>35</v>
      </c>
      <c r="E10" s="5"/>
    </row>
    <row r="11" spans="1:5" ht="15" customHeight="1" x14ac:dyDescent="0.25">
      <c r="A11" s="6">
        <v>9</v>
      </c>
      <c r="B11" s="5" t="s">
        <v>47</v>
      </c>
      <c r="C11" s="6" t="s">
        <v>46</v>
      </c>
      <c r="D11" s="5" t="s">
        <v>30</v>
      </c>
      <c r="E11" s="5"/>
    </row>
    <row r="12" spans="1:5" ht="15" customHeight="1" x14ac:dyDescent="0.25">
      <c r="A12" s="6">
        <v>8</v>
      </c>
      <c r="B12" s="5" t="s">
        <v>49</v>
      </c>
      <c r="C12" s="6" t="s">
        <v>48</v>
      </c>
      <c r="D12" s="5" t="s">
        <v>30</v>
      </c>
      <c r="E12" s="5"/>
    </row>
    <row r="13" spans="1:5" ht="15" customHeight="1" x14ac:dyDescent="0.25">
      <c r="A13" s="6">
        <v>5</v>
      </c>
      <c r="B13" s="5" t="s">
        <v>37</v>
      </c>
      <c r="C13" s="6" t="s">
        <v>50</v>
      </c>
      <c r="D13" s="5" t="s">
        <v>35</v>
      </c>
      <c r="E13" s="5"/>
    </row>
    <row r="14" spans="1:5" ht="15" customHeight="1" x14ac:dyDescent="0.25">
      <c r="A14" s="6">
        <v>3</v>
      </c>
      <c r="B14" s="5" t="s">
        <v>26</v>
      </c>
      <c r="C14" s="6" t="s">
        <v>51</v>
      </c>
      <c r="D14" s="5" t="s">
        <v>30</v>
      </c>
      <c r="E14" s="5"/>
    </row>
    <row r="15" spans="1:5" ht="15" customHeight="1" x14ac:dyDescent="0.25">
      <c r="A15" s="6">
        <v>9</v>
      </c>
      <c r="B15" s="5" t="s">
        <v>47</v>
      </c>
      <c r="C15" s="6" t="s">
        <v>52</v>
      </c>
      <c r="D15" s="5" t="s">
        <v>53</v>
      </c>
      <c r="E15" s="5"/>
    </row>
    <row r="16" spans="1:5" ht="15" customHeight="1" x14ac:dyDescent="0.25">
      <c r="A16" s="6">
        <v>4</v>
      </c>
      <c r="B16" s="5" t="s">
        <v>41</v>
      </c>
      <c r="C16" s="6" t="s">
        <v>54</v>
      </c>
      <c r="D16" s="5" t="s">
        <v>33</v>
      </c>
      <c r="E16" s="5"/>
    </row>
    <row r="17" spans="1:5" ht="26.25" customHeight="1" x14ac:dyDescent="0.25">
      <c r="A17" s="6">
        <v>8</v>
      </c>
      <c r="B17" s="5" t="s">
        <v>49</v>
      </c>
      <c r="C17" s="6" t="s">
        <v>55</v>
      </c>
      <c r="D17" s="5" t="s">
        <v>27</v>
      </c>
      <c r="E17" s="5"/>
    </row>
    <row r="18" spans="1:5" ht="26.25" customHeight="1" x14ac:dyDescent="0.25">
      <c r="A18" s="6">
        <v>7</v>
      </c>
      <c r="B18" s="5" t="s">
        <v>39</v>
      </c>
      <c r="C18" s="6" t="s">
        <v>56</v>
      </c>
      <c r="D18" s="5" t="s">
        <v>35</v>
      </c>
      <c r="E18" s="5"/>
    </row>
    <row r="19" spans="1:5" ht="26.25" customHeight="1" x14ac:dyDescent="0.25">
      <c r="A19" s="6">
        <v>1</v>
      </c>
      <c r="B19" s="5" t="s">
        <v>29</v>
      </c>
      <c r="C19" s="6" t="s">
        <v>57</v>
      </c>
      <c r="D19" s="5" t="s">
        <v>33</v>
      </c>
      <c r="E19" s="5"/>
    </row>
    <row r="20" spans="1:5" ht="15" customHeight="1" x14ac:dyDescent="0.25">
      <c r="A20" s="6">
        <v>9</v>
      </c>
      <c r="B20" s="5" t="s">
        <v>47</v>
      </c>
      <c r="C20" s="6" t="s">
        <v>58</v>
      </c>
      <c r="D20" s="5" t="s">
        <v>27</v>
      </c>
      <c r="E20" s="5"/>
    </row>
    <row r="21" spans="1:5" ht="15" customHeight="1" x14ac:dyDescent="0.25">
      <c r="A21" s="6">
        <v>4</v>
      </c>
      <c r="B21" s="5" t="s">
        <v>41</v>
      </c>
      <c r="C21" s="6" t="s">
        <v>59</v>
      </c>
      <c r="D21" s="5" t="s">
        <v>33</v>
      </c>
      <c r="E21" s="5"/>
    </row>
    <row r="22" spans="1:5" ht="15" customHeight="1" x14ac:dyDescent="0.25">
      <c r="A22" s="6">
        <v>4</v>
      </c>
      <c r="B22" s="5" t="s">
        <v>41</v>
      </c>
      <c r="C22" s="6" t="s">
        <v>60</v>
      </c>
      <c r="D22" s="5" t="s">
        <v>53</v>
      </c>
      <c r="E22" s="5"/>
    </row>
    <row r="23" spans="1:5" ht="26.25" customHeight="1" x14ac:dyDescent="0.25">
      <c r="A23" s="6">
        <v>1</v>
      </c>
      <c r="B23" s="5" t="s">
        <v>29</v>
      </c>
      <c r="C23" s="6" t="s">
        <v>61</v>
      </c>
      <c r="D23" s="5" t="s">
        <v>35</v>
      </c>
      <c r="E23" s="5"/>
    </row>
    <row r="24" spans="1:5" ht="15" customHeight="1" x14ac:dyDescent="0.25">
      <c r="A24" s="6">
        <v>3</v>
      </c>
      <c r="B24" s="5" t="s">
        <v>26</v>
      </c>
      <c r="C24" s="6" t="s">
        <v>62</v>
      </c>
      <c r="D24" s="5" t="s">
        <v>53</v>
      </c>
      <c r="E24" s="5"/>
    </row>
    <row r="25" spans="1:5" ht="26.25" customHeight="1" x14ac:dyDescent="0.25">
      <c r="A25" s="6">
        <v>2</v>
      </c>
      <c r="B25" s="5" t="s">
        <v>43</v>
      </c>
      <c r="C25" s="6" t="s">
        <v>63</v>
      </c>
      <c r="D25" s="5" t="s">
        <v>27</v>
      </c>
      <c r="E25" s="5"/>
    </row>
    <row r="26" spans="1:5" ht="15" customHeight="1" x14ac:dyDescent="0.25">
      <c r="A26" s="6">
        <v>2</v>
      </c>
      <c r="B26" s="5" t="s">
        <v>43</v>
      </c>
      <c r="C26" s="6" t="s">
        <v>64</v>
      </c>
      <c r="D26" s="5" t="s">
        <v>30</v>
      </c>
      <c r="E26" s="5"/>
    </row>
    <row r="27" spans="1:5" ht="15" customHeight="1" x14ac:dyDescent="0.25">
      <c r="A27" s="6">
        <v>5</v>
      </c>
      <c r="B27" s="5" t="s">
        <v>37</v>
      </c>
      <c r="C27" s="6" t="s">
        <v>65</v>
      </c>
      <c r="D27" s="5" t="s">
        <v>33</v>
      </c>
      <c r="E27" s="5"/>
    </row>
    <row r="28" spans="1:5" ht="15" customHeight="1" x14ac:dyDescent="0.25">
      <c r="A28" s="6">
        <v>6</v>
      </c>
      <c r="B28" s="5" t="s">
        <v>32</v>
      </c>
      <c r="C28" s="6" t="s">
        <v>66</v>
      </c>
      <c r="D28" s="5" t="s">
        <v>44</v>
      </c>
      <c r="E28" s="5"/>
    </row>
    <row r="29" spans="1:5" ht="15" customHeight="1" x14ac:dyDescent="0.25">
      <c r="A29" s="6">
        <v>7</v>
      </c>
      <c r="B29" s="5" t="s">
        <v>39</v>
      </c>
      <c r="C29" s="6" t="s">
        <v>67</v>
      </c>
      <c r="D29" s="5" t="s">
        <v>35</v>
      </c>
      <c r="E29" s="5"/>
    </row>
    <row r="30" spans="1:5" ht="26.25" customHeight="1" x14ac:dyDescent="0.25">
      <c r="A30" s="6">
        <v>8</v>
      </c>
      <c r="B30" s="5" t="s">
        <v>49</v>
      </c>
      <c r="C30" s="6" t="s">
        <v>68</v>
      </c>
      <c r="D30" s="5" t="s">
        <v>33</v>
      </c>
      <c r="E30" s="5"/>
    </row>
    <row r="31" spans="1:5" ht="26.25" customHeight="1" x14ac:dyDescent="0.25">
      <c r="A31" s="6">
        <v>3</v>
      </c>
      <c r="B31" s="5" t="s">
        <v>26</v>
      </c>
      <c r="C31" s="6" t="s">
        <v>69</v>
      </c>
      <c r="D31" s="5" t="s">
        <v>27</v>
      </c>
      <c r="E31" s="5"/>
    </row>
    <row r="32" spans="1:5" ht="15" customHeight="1" x14ac:dyDescent="0.25">
      <c r="A32" s="6">
        <v>9</v>
      </c>
      <c r="B32" s="5" t="s">
        <v>47</v>
      </c>
      <c r="C32" s="6" t="s">
        <v>70</v>
      </c>
      <c r="D32" s="5" t="s">
        <v>33</v>
      </c>
      <c r="E32" s="5"/>
    </row>
    <row r="33" spans="1:5" ht="26.25" customHeight="1" x14ac:dyDescent="0.25">
      <c r="A33" s="6">
        <v>8</v>
      </c>
      <c r="B33" s="5" t="s">
        <v>49</v>
      </c>
      <c r="C33" s="6" t="s">
        <v>71</v>
      </c>
      <c r="D33" s="5" t="s">
        <v>35</v>
      </c>
      <c r="E33" s="5"/>
    </row>
    <row r="34" spans="1:5" ht="15" customHeight="1" x14ac:dyDescent="0.25">
      <c r="A34" s="6">
        <v>5</v>
      </c>
      <c r="B34" s="5" t="s">
        <v>37</v>
      </c>
      <c r="C34" s="6" t="s">
        <v>72</v>
      </c>
      <c r="D34" s="5" t="s">
        <v>53</v>
      </c>
      <c r="E34" s="5"/>
    </row>
    <row r="35" spans="1:5" ht="26.25" customHeight="1" x14ac:dyDescent="0.25">
      <c r="A35" s="6">
        <v>6</v>
      </c>
      <c r="B35" s="5" t="s">
        <v>32</v>
      </c>
      <c r="C35" s="6" t="s">
        <v>73</v>
      </c>
      <c r="D35" s="5" t="s">
        <v>27</v>
      </c>
      <c r="E35" s="5"/>
    </row>
    <row r="36" spans="1:5" ht="26.25" customHeight="1" x14ac:dyDescent="0.25">
      <c r="A36" s="6">
        <v>1</v>
      </c>
      <c r="B36" s="5" t="s">
        <v>29</v>
      </c>
      <c r="C36" s="6" t="s">
        <v>74</v>
      </c>
      <c r="D36" s="5" t="s">
        <v>44</v>
      </c>
      <c r="E36" s="5"/>
    </row>
    <row r="37" spans="1:5" ht="26.25" customHeight="1" x14ac:dyDescent="0.25">
      <c r="A37" s="6">
        <v>7</v>
      </c>
      <c r="B37" s="5" t="s">
        <v>39</v>
      </c>
      <c r="C37" s="6" t="s">
        <v>75</v>
      </c>
      <c r="D37" s="5" t="s">
        <v>53</v>
      </c>
      <c r="E37" s="5"/>
    </row>
    <row r="38" spans="1:5" ht="15" customHeight="1" x14ac:dyDescent="0.25">
      <c r="A38" s="6">
        <v>9</v>
      </c>
      <c r="B38" s="5" t="s">
        <v>47</v>
      </c>
      <c r="C38" s="6" t="s">
        <v>76</v>
      </c>
      <c r="D38" s="5" t="s">
        <v>35</v>
      </c>
      <c r="E38" s="5"/>
    </row>
    <row r="39" spans="1:5" ht="15" customHeight="1" x14ac:dyDescent="0.25">
      <c r="A39" s="6">
        <v>1</v>
      </c>
      <c r="B39" s="5" t="s">
        <v>29</v>
      </c>
      <c r="C39" s="6" t="s">
        <v>77</v>
      </c>
      <c r="D39" s="5" t="s">
        <v>44</v>
      </c>
      <c r="E39" s="5"/>
    </row>
    <row r="40" spans="1:5" ht="15" customHeight="1" x14ac:dyDescent="0.25">
      <c r="A40" s="6">
        <v>7</v>
      </c>
      <c r="B40" s="5" t="s">
        <v>39</v>
      </c>
      <c r="C40" s="6" t="s">
        <v>78</v>
      </c>
      <c r="D40" s="5" t="s">
        <v>53</v>
      </c>
      <c r="E40" s="5"/>
    </row>
    <row r="41" spans="1:5" ht="15" customHeight="1" x14ac:dyDescent="0.25">
      <c r="A41" s="6">
        <v>7</v>
      </c>
      <c r="B41" s="5" t="s">
        <v>39</v>
      </c>
      <c r="C41" s="6" t="s">
        <v>79</v>
      </c>
      <c r="D41" s="5" t="s">
        <v>35</v>
      </c>
      <c r="E41" s="5"/>
    </row>
    <row r="42" spans="1:5" ht="15" customHeight="1" x14ac:dyDescent="0.25">
      <c r="A42" s="6">
        <v>5</v>
      </c>
      <c r="B42" s="5" t="s">
        <v>37</v>
      </c>
      <c r="C42" s="6" t="s">
        <v>80</v>
      </c>
      <c r="D42" s="5" t="s">
        <v>53</v>
      </c>
      <c r="E42" s="5"/>
    </row>
    <row r="43" spans="1:5" ht="15" customHeight="1" x14ac:dyDescent="0.25">
      <c r="A43" s="6">
        <v>2</v>
      </c>
      <c r="B43" s="5" t="s">
        <v>43</v>
      </c>
      <c r="C43" s="6" t="s">
        <v>81</v>
      </c>
      <c r="D43" s="5" t="s">
        <v>35</v>
      </c>
      <c r="E43" s="5"/>
    </row>
    <row r="44" spans="1:5" ht="15" customHeight="1" x14ac:dyDescent="0.25">
      <c r="A44" s="6">
        <v>4</v>
      </c>
      <c r="B44" s="5" t="s">
        <v>41</v>
      </c>
      <c r="C44" s="6" t="s">
        <v>82</v>
      </c>
      <c r="D44" s="5" t="s">
        <v>30</v>
      </c>
      <c r="E44" s="5"/>
    </row>
    <row r="45" spans="1:5" ht="15" customHeight="1" x14ac:dyDescent="0.25">
      <c r="A45" s="6">
        <v>3</v>
      </c>
      <c r="B45" s="5" t="s">
        <v>26</v>
      </c>
      <c r="C45" s="6" t="s">
        <v>83</v>
      </c>
      <c r="D45" s="5" t="s">
        <v>30</v>
      </c>
      <c r="E45" s="5"/>
    </row>
    <row r="46" spans="1:5" ht="15" customHeight="1" x14ac:dyDescent="0.25">
      <c r="A46" s="6">
        <v>8</v>
      </c>
      <c r="B46" s="5" t="s">
        <v>49</v>
      </c>
      <c r="C46" s="6" t="s">
        <v>84</v>
      </c>
      <c r="D46" s="5" t="s">
        <v>44</v>
      </c>
      <c r="E46" s="5"/>
    </row>
    <row r="47" spans="1:5" ht="15" customHeight="1" x14ac:dyDescent="0.25">
      <c r="A47" s="6">
        <v>6</v>
      </c>
      <c r="B47" s="5" t="s">
        <v>32</v>
      </c>
      <c r="C47" s="6" t="s">
        <v>85</v>
      </c>
      <c r="D47" s="5" t="s">
        <v>30</v>
      </c>
      <c r="E47" s="5"/>
    </row>
    <row r="48" spans="1:5" ht="26.25" customHeight="1" x14ac:dyDescent="0.25">
      <c r="A48" s="6">
        <v>9</v>
      </c>
      <c r="B48" s="5" t="s">
        <v>47</v>
      </c>
      <c r="C48" s="6" t="s">
        <v>86</v>
      </c>
      <c r="D48" s="5" t="s">
        <v>33</v>
      </c>
      <c r="E48" s="5"/>
    </row>
    <row r="49" spans="1:5" ht="26.25" customHeight="1" x14ac:dyDescent="0.25">
      <c r="A49" s="6">
        <v>1</v>
      </c>
      <c r="B49" s="5" t="s">
        <v>29</v>
      </c>
      <c r="C49" s="6" t="s">
        <v>87</v>
      </c>
      <c r="D49" s="5" t="s">
        <v>33</v>
      </c>
      <c r="E49" s="5"/>
    </row>
    <row r="50" spans="1:5" ht="15" customHeight="1" x14ac:dyDescent="0.25">
      <c r="A50" s="6">
        <v>1</v>
      </c>
      <c r="B50" s="5" t="s">
        <v>29</v>
      </c>
      <c r="C50" s="6" t="s">
        <v>88</v>
      </c>
      <c r="D50" s="5" t="s">
        <v>53</v>
      </c>
      <c r="E50" s="5"/>
    </row>
    <row r="51" spans="1:5" ht="15" customHeight="1" x14ac:dyDescent="0.25">
      <c r="A51" s="6">
        <v>6</v>
      </c>
      <c r="B51" s="5" t="s">
        <v>32</v>
      </c>
      <c r="C51" s="6" t="s">
        <v>89</v>
      </c>
      <c r="D51" s="5" t="s">
        <v>35</v>
      </c>
      <c r="E51" s="5"/>
    </row>
    <row r="52" spans="1:5" ht="26.25" customHeight="1" x14ac:dyDescent="0.25">
      <c r="A52" s="6">
        <v>2</v>
      </c>
      <c r="B52" s="5" t="s">
        <v>43</v>
      </c>
      <c r="C52" s="6" t="s">
        <v>90</v>
      </c>
      <c r="D52" s="5" t="s">
        <v>53</v>
      </c>
      <c r="E52" s="5"/>
    </row>
    <row r="53" spans="1:5" ht="26.25" customHeight="1" x14ac:dyDescent="0.25">
      <c r="A53" s="6">
        <v>4</v>
      </c>
      <c r="B53" s="5" t="s">
        <v>41</v>
      </c>
      <c r="C53" s="6" t="s">
        <v>91</v>
      </c>
      <c r="D53" s="5" t="s">
        <v>27</v>
      </c>
      <c r="E53" s="5"/>
    </row>
    <row r="54" spans="1:5" ht="26.25" customHeight="1" x14ac:dyDescent="0.25">
      <c r="A54" s="6">
        <v>5</v>
      </c>
      <c r="B54" s="5" t="s">
        <v>37</v>
      </c>
      <c r="C54" s="6" t="s">
        <v>92</v>
      </c>
      <c r="D54" s="5" t="s">
        <v>44</v>
      </c>
      <c r="E54" s="5"/>
    </row>
    <row r="55" spans="1:5" ht="15" customHeight="1" x14ac:dyDescent="0.25">
      <c r="A55" s="6">
        <v>8</v>
      </c>
      <c r="B55" s="5" t="s">
        <v>49</v>
      </c>
      <c r="C55" s="6" t="s">
        <v>93</v>
      </c>
      <c r="D55" s="5" t="s">
        <v>53</v>
      </c>
      <c r="E55" s="5"/>
    </row>
    <row r="56" spans="1:5" ht="15" customHeight="1" x14ac:dyDescent="0.25">
      <c r="A56" s="6">
        <v>3</v>
      </c>
      <c r="B56" s="5" t="s">
        <v>26</v>
      </c>
      <c r="C56" s="6" t="s">
        <v>94</v>
      </c>
      <c r="D56" s="5" t="s">
        <v>53</v>
      </c>
      <c r="E56" s="5"/>
    </row>
    <row r="57" spans="1:5" ht="15" customHeight="1" x14ac:dyDescent="0.25">
      <c r="A57" s="6">
        <v>6</v>
      </c>
      <c r="B57" s="5" t="s">
        <v>32</v>
      </c>
      <c r="C57" s="6" t="s">
        <v>95</v>
      </c>
      <c r="D57" s="5" t="s">
        <v>30</v>
      </c>
      <c r="E57" s="5"/>
    </row>
    <row r="58" spans="1:5" ht="15" customHeight="1" x14ac:dyDescent="0.25">
      <c r="A58" s="6">
        <v>9</v>
      </c>
      <c r="B58" s="5" t="s">
        <v>47</v>
      </c>
      <c r="C58" s="6" t="s">
        <v>96</v>
      </c>
      <c r="D58" s="5" t="s">
        <v>53</v>
      </c>
      <c r="E58" s="5"/>
    </row>
    <row r="59" spans="1:5" ht="26.25" customHeight="1" x14ac:dyDescent="0.25">
      <c r="A59" s="6">
        <v>4</v>
      </c>
      <c r="B59" s="5" t="s">
        <v>41</v>
      </c>
      <c r="C59" s="6" t="s">
        <v>97</v>
      </c>
      <c r="D59" s="5" t="s">
        <v>30</v>
      </c>
      <c r="E59" s="5"/>
    </row>
    <row r="60" spans="1:5" ht="15" customHeight="1" x14ac:dyDescent="0.25">
      <c r="A60" s="6">
        <v>8</v>
      </c>
      <c r="B60" s="5" t="s">
        <v>49</v>
      </c>
      <c r="C60" s="6" t="s">
        <v>98</v>
      </c>
      <c r="D60" s="5" t="s">
        <v>35</v>
      </c>
      <c r="E60" s="5"/>
    </row>
    <row r="61" spans="1:5" ht="26.25" customHeight="1" x14ac:dyDescent="0.25">
      <c r="A61" s="6">
        <v>7</v>
      </c>
      <c r="B61" s="5" t="s">
        <v>39</v>
      </c>
      <c r="C61" s="6" t="s">
        <v>99</v>
      </c>
      <c r="D61" s="5" t="s">
        <v>27</v>
      </c>
      <c r="E61" s="5"/>
    </row>
    <row r="62" spans="1:5" ht="15" customHeight="1" x14ac:dyDescent="0.25">
      <c r="A62" s="6">
        <v>3</v>
      </c>
      <c r="B62" s="5" t="s">
        <v>26</v>
      </c>
      <c r="C62" s="6" t="s">
        <v>100</v>
      </c>
      <c r="D62" s="5" t="s">
        <v>30</v>
      </c>
      <c r="E62" s="5"/>
    </row>
    <row r="63" spans="1:5" ht="26.25" customHeight="1" x14ac:dyDescent="0.25">
      <c r="A63" s="6">
        <v>2</v>
      </c>
      <c r="B63" s="5" t="s">
        <v>43</v>
      </c>
      <c r="C63" s="6" t="s">
        <v>101</v>
      </c>
      <c r="D63" s="5" t="s">
        <v>30</v>
      </c>
      <c r="E63" s="5"/>
    </row>
    <row r="64" spans="1:5" ht="15" customHeight="1" x14ac:dyDescent="0.25">
      <c r="A64" s="6">
        <v>5</v>
      </c>
      <c r="B64" s="5" t="s">
        <v>37</v>
      </c>
      <c r="C64" s="6" t="s">
        <v>102</v>
      </c>
      <c r="D64" s="5" t="s">
        <v>44</v>
      </c>
      <c r="E64" s="5"/>
    </row>
    <row r="65" spans="1:5" ht="15" customHeight="1" x14ac:dyDescent="0.25">
      <c r="A65" s="6">
        <v>1</v>
      </c>
      <c r="B65" s="5" t="s">
        <v>29</v>
      </c>
      <c r="C65" s="6" t="s">
        <v>103</v>
      </c>
      <c r="D65" s="5" t="s">
        <v>33</v>
      </c>
      <c r="E65" s="5"/>
    </row>
    <row r="66" spans="1:5" ht="15" customHeight="1" x14ac:dyDescent="0.25">
      <c r="A66" s="6">
        <v>1</v>
      </c>
      <c r="B66" s="5" t="s">
        <v>29</v>
      </c>
      <c r="C66" s="6" t="s">
        <v>104</v>
      </c>
      <c r="D66" s="5" t="s">
        <v>44</v>
      </c>
      <c r="E66" s="5"/>
    </row>
    <row r="67" spans="1:5" ht="26.25" customHeight="1" x14ac:dyDescent="0.25">
      <c r="A67" s="6">
        <v>9</v>
      </c>
      <c r="B67" s="5" t="s">
        <v>47</v>
      </c>
      <c r="C67" s="6" t="s">
        <v>105</v>
      </c>
      <c r="D67" s="5" t="s">
        <v>30</v>
      </c>
      <c r="E67" s="5"/>
    </row>
    <row r="68" spans="1:5" ht="26.25" customHeight="1" x14ac:dyDescent="0.25">
      <c r="A68" s="6">
        <v>8</v>
      </c>
      <c r="B68" s="5" t="s">
        <v>49</v>
      </c>
      <c r="C68" s="6" t="s">
        <v>106</v>
      </c>
      <c r="D68" s="5" t="s">
        <v>35</v>
      </c>
      <c r="E68" s="5"/>
    </row>
    <row r="69" spans="1:5" ht="15" customHeight="1" x14ac:dyDescent="0.25">
      <c r="A69" s="6">
        <v>2</v>
      </c>
      <c r="B69" s="5" t="s">
        <v>43</v>
      </c>
      <c r="C69" s="6" t="s">
        <v>107</v>
      </c>
      <c r="D69" s="5" t="s">
        <v>33</v>
      </c>
      <c r="E69" s="5"/>
    </row>
    <row r="70" spans="1:5" ht="26.25" customHeight="1" x14ac:dyDescent="0.25">
      <c r="A70" s="6">
        <v>3</v>
      </c>
      <c r="B70" s="5" t="s">
        <v>26</v>
      </c>
      <c r="C70" s="6" t="s">
        <v>108</v>
      </c>
      <c r="D70" s="5" t="s">
        <v>33</v>
      </c>
      <c r="E70" s="5"/>
    </row>
    <row r="71" spans="1:5" ht="26.25" customHeight="1" x14ac:dyDescent="0.25">
      <c r="A71" s="6">
        <v>4</v>
      </c>
      <c r="B71" s="5" t="s">
        <v>41</v>
      </c>
      <c r="C71" s="6" t="s">
        <v>109</v>
      </c>
      <c r="D71" s="5" t="s">
        <v>44</v>
      </c>
      <c r="E71" s="5"/>
    </row>
    <row r="72" spans="1:5" ht="26.25" customHeight="1" x14ac:dyDescent="0.25">
      <c r="A72" s="6">
        <v>7</v>
      </c>
      <c r="B72" s="5" t="s">
        <v>39</v>
      </c>
      <c r="C72" s="6" t="s">
        <v>110</v>
      </c>
      <c r="D72" s="5" t="s">
        <v>27</v>
      </c>
      <c r="E72" s="5"/>
    </row>
    <row r="73" spans="1:5" ht="26.25" customHeight="1" x14ac:dyDescent="0.25">
      <c r="A73" s="6">
        <v>6</v>
      </c>
      <c r="B73" s="5" t="s">
        <v>32</v>
      </c>
      <c r="C73" s="6" t="s">
        <v>111</v>
      </c>
      <c r="D73" s="5" t="s">
        <v>44</v>
      </c>
      <c r="E73" s="5"/>
    </row>
    <row r="74" spans="1:5" ht="15" customHeight="1" x14ac:dyDescent="0.25">
      <c r="A74" s="6">
        <v>6</v>
      </c>
      <c r="B74" s="5" t="s">
        <v>32</v>
      </c>
      <c r="C74" s="6" t="s">
        <v>112</v>
      </c>
      <c r="D74" s="5" t="s">
        <v>30</v>
      </c>
      <c r="E74" s="5"/>
    </row>
    <row r="75" spans="1:5" ht="15" customHeight="1" x14ac:dyDescent="0.25">
      <c r="A75" s="6">
        <v>5</v>
      </c>
      <c r="B75" s="5" t="s">
        <v>37</v>
      </c>
      <c r="C75" s="6" t="s">
        <v>113</v>
      </c>
      <c r="D75" s="5" t="s">
        <v>30</v>
      </c>
      <c r="E75" s="5"/>
    </row>
    <row r="76" spans="1:5" ht="15" customHeight="1" x14ac:dyDescent="0.25">
      <c r="A76" s="6">
        <v>2</v>
      </c>
      <c r="B76" s="5" t="s">
        <v>43</v>
      </c>
      <c r="C76" s="6" t="s">
        <v>114</v>
      </c>
      <c r="D76" s="5" t="s">
        <v>33</v>
      </c>
      <c r="E76" s="5"/>
    </row>
    <row r="77" spans="1:5" ht="26.25" customHeight="1" x14ac:dyDescent="0.25">
      <c r="A77" s="6">
        <v>7</v>
      </c>
      <c r="B77" s="5" t="s">
        <v>39</v>
      </c>
      <c r="C77" s="6" t="s">
        <v>115</v>
      </c>
      <c r="D77" s="5" t="s">
        <v>30</v>
      </c>
      <c r="E77" s="5"/>
    </row>
    <row r="78" spans="1:5" ht="15" customHeight="1" x14ac:dyDescent="0.25">
      <c r="A78" s="6">
        <v>9</v>
      </c>
      <c r="B78" s="5" t="s">
        <v>47</v>
      </c>
      <c r="C78" s="6" t="s">
        <v>116</v>
      </c>
      <c r="D78" s="5" t="s">
        <v>35</v>
      </c>
      <c r="E78" s="5"/>
    </row>
    <row r="79" spans="1:5" ht="26.25" customHeight="1" x14ac:dyDescent="0.25">
      <c r="A79" s="6">
        <v>5</v>
      </c>
      <c r="B79" s="5" t="s">
        <v>37</v>
      </c>
      <c r="C79" s="6" t="s">
        <v>117</v>
      </c>
      <c r="D79" s="5" t="s">
        <v>27</v>
      </c>
      <c r="E79" s="5"/>
    </row>
    <row r="80" spans="1:5" ht="26.25" customHeight="1" x14ac:dyDescent="0.25">
      <c r="A80" s="6">
        <v>8</v>
      </c>
      <c r="B80" s="5" t="s">
        <v>49</v>
      </c>
      <c r="C80" s="6" t="s">
        <v>118</v>
      </c>
      <c r="D80" s="5" t="s">
        <v>30</v>
      </c>
      <c r="E80" s="5"/>
    </row>
    <row r="81" spans="1:5" ht="15" customHeight="1" x14ac:dyDescent="0.25">
      <c r="A81" s="6">
        <v>4</v>
      </c>
      <c r="B81" s="5" t="s">
        <v>41</v>
      </c>
      <c r="C81" s="6" t="s">
        <v>119</v>
      </c>
      <c r="D81" s="5" t="s">
        <v>27</v>
      </c>
      <c r="E81" s="5"/>
    </row>
    <row r="82" spans="1:5" ht="15" customHeight="1" x14ac:dyDescent="0.25">
      <c r="A82" s="6">
        <v>3</v>
      </c>
      <c r="B82" s="5" t="s">
        <v>26</v>
      </c>
      <c r="C82" s="6" t="s">
        <v>120</v>
      </c>
      <c r="D82" s="5" t="s">
        <v>35</v>
      </c>
      <c r="E82" s="5"/>
    </row>
    <row r="83" spans="1:5" ht="15" customHeight="1" x14ac:dyDescent="0.25">
      <c r="A83" s="6">
        <v>2</v>
      </c>
      <c r="B83" s="5" t="s">
        <v>43</v>
      </c>
      <c r="C83" s="6" t="s">
        <v>121</v>
      </c>
      <c r="D83" s="5" t="s">
        <v>44</v>
      </c>
      <c r="E83" s="5"/>
    </row>
    <row r="84" spans="1:5" ht="26.25" customHeight="1" x14ac:dyDescent="0.25">
      <c r="A84" s="6">
        <v>2</v>
      </c>
      <c r="B84" s="5" t="s">
        <v>43</v>
      </c>
      <c r="C84" s="6" t="s">
        <v>122</v>
      </c>
      <c r="D84" s="5" t="s">
        <v>30</v>
      </c>
      <c r="E84" s="5"/>
    </row>
    <row r="85" spans="1:5" ht="15" customHeight="1" x14ac:dyDescent="0.25">
      <c r="A85" s="6">
        <v>3</v>
      </c>
      <c r="B85" s="5" t="s">
        <v>26</v>
      </c>
      <c r="C85" s="6" t="s">
        <v>123</v>
      </c>
      <c r="D85" s="5" t="s">
        <v>35</v>
      </c>
      <c r="E85" s="5"/>
    </row>
    <row r="86" spans="1:5" ht="15" customHeight="1" x14ac:dyDescent="0.25">
      <c r="A86" s="6">
        <v>3</v>
      </c>
      <c r="B86" s="5" t="s">
        <v>26</v>
      </c>
      <c r="C86" s="6" t="s">
        <v>124</v>
      </c>
      <c r="D86" s="5" t="s">
        <v>33</v>
      </c>
      <c r="E86" s="5"/>
    </row>
    <row r="87" spans="1:5" ht="15" customHeight="1" x14ac:dyDescent="0.25">
      <c r="A87" s="6">
        <v>4</v>
      </c>
      <c r="B87" s="5" t="s">
        <v>41</v>
      </c>
      <c r="C87" s="6" t="s">
        <v>125</v>
      </c>
      <c r="D87" s="5" t="s">
        <v>44</v>
      </c>
      <c r="E87" s="5"/>
    </row>
    <row r="88" spans="1:5" ht="26.25" customHeight="1" x14ac:dyDescent="0.25">
      <c r="A88" s="6">
        <v>5</v>
      </c>
      <c r="B88" s="5" t="s">
        <v>37</v>
      </c>
      <c r="C88" s="6" t="s">
        <v>126</v>
      </c>
      <c r="D88" s="5" t="s">
        <v>35</v>
      </c>
      <c r="E88" s="5"/>
    </row>
    <row r="89" spans="1:5" ht="26.25" customHeight="1" x14ac:dyDescent="0.25">
      <c r="A89" s="6">
        <v>1</v>
      </c>
      <c r="B89" s="5" t="s">
        <v>29</v>
      </c>
      <c r="C89" s="6" t="s">
        <v>127</v>
      </c>
      <c r="D89" s="5" t="s">
        <v>53</v>
      </c>
      <c r="E89" s="5"/>
    </row>
    <row r="90" spans="1:5" ht="26.25" customHeight="1" x14ac:dyDescent="0.25">
      <c r="A90" s="6">
        <v>8</v>
      </c>
      <c r="B90" s="5" t="s">
        <v>49</v>
      </c>
      <c r="C90" s="6" t="s">
        <v>128</v>
      </c>
      <c r="D90" s="5" t="s">
        <v>53</v>
      </c>
      <c r="E90" s="5"/>
    </row>
    <row r="91" spans="1:5" ht="26.25" customHeight="1" x14ac:dyDescent="0.25">
      <c r="A91" s="6">
        <v>7</v>
      </c>
      <c r="B91" s="5" t="s">
        <v>39</v>
      </c>
      <c r="C91" s="6" t="s">
        <v>129</v>
      </c>
      <c r="D91" s="5" t="s">
        <v>30</v>
      </c>
      <c r="E91" s="5"/>
    </row>
    <row r="92" spans="1:5" ht="15" customHeight="1" x14ac:dyDescent="0.25">
      <c r="A92" s="6">
        <v>9</v>
      </c>
      <c r="B92" s="5" t="s">
        <v>47</v>
      </c>
      <c r="C92" s="6" t="s">
        <v>130</v>
      </c>
      <c r="D92" s="5" t="s">
        <v>44</v>
      </c>
      <c r="E92" s="5"/>
    </row>
    <row r="93" spans="1:5" ht="15" customHeight="1" x14ac:dyDescent="0.25">
      <c r="A93" s="6">
        <v>6</v>
      </c>
      <c r="B93" s="5" t="s">
        <v>32</v>
      </c>
      <c r="C93" s="6" t="s">
        <v>131</v>
      </c>
      <c r="D93" s="5" t="s">
        <v>27</v>
      </c>
      <c r="E93" s="5"/>
    </row>
    <row r="94" spans="1:5" ht="15" customHeight="1" x14ac:dyDescent="0.25">
      <c r="A94" s="6">
        <v>8</v>
      </c>
      <c r="B94" s="5" t="s">
        <v>49</v>
      </c>
      <c r="C94" s="6" t="s">
        <v>132</v>
      </c>
      <c r="D94" s="5" t="s">
        <v>33</v>
      </c>
      <c r="E94" s="5"/>
    </row>
    <row r="95" spans="1:5" ht="15" customHeight="1" x14ac:dyDescent="0.25">
      <c r="A95" s="6">
        <v>9</v>
      </c>
      <c r="B95" s="5" t="s">
        <v>47</v>
      </c>
      <c r="C95" s="6" t="s">
        <v>133</v>
      </c>
      <c r="D95" s="5" t="s">
        <v>33</v>
      </c>
      <c r="E95" s="5"/>
    </row>
    <row r="96" spans="1:5" ht="15" customHeight="1" x14ac:dyDescent="0.25">
      <c r="A96" s="6">
        <v>9</v>
      </c>
      <c r="B96" s="5" t="s">
        <v>47</v>
      </c>
      <c r="C96" s="6" t="s">
        <v>134</v>
      </c>
      <c r="D96" s="5" t="s">
        <v>35</v>
      </c>
      <c r="E96" s="5"/>
    </row>
    <row r="97" spans="1:5" ht="26.25" customHeight="1" x14ac:dyDescent="0.25">
      <c r="A97" s="6">
        <v>4</v>
      </c>
      <c r="B97" s="5" t="s">
        <v>41</v>
      </c>
      <c r="C97" s="6" t="s">
        <v>135</v>
      </c>
      <c r="D97" s="5" t="s">
        <v>44</v>
      </c>
      <c r="E97" s="5"/>
    </row>
    <row r="98" spans="1:5" ht="15" customHeight="1" x14ac:dyDescent="0.25">
      <c r="A98" s="6">
        <v>1</v>
      </c>
      <c r="B98" s="5" t="s">
        <v>29</v>
      </c>
      <c r="C98" s="6" t="s">
        <v>136</v>
      </c>
      <c r="D98" s="5" t="s">
        <v>35</v>
      </c>
      <c r="E98" s="5"/>
    </row>
    <row r="99" spans="1:5" ht="15" customHeight="1" x14ac:dyDescent="0.25">
      <c r="A99" s="6">
        <v>5</v>
      </c>
      <c r="B99" s="5" t="s">
        <v>37</v>
      </c>
      <c r="C99" s="6" t="s">
        <v>137</v>
      </c>
      <c r="D99" s="5" t="s">
        <v>44</v>
      </c>
      <c r="E99" s="5"/>
    </row>
    <row r="100" spans="1:5" ht="26.25" customHeight="1" x14ac:dyDescent="0.25">
      <c r="A100" s="6">
        <v>6</v>
      </c>
      <c r="B100" s="5" t="s">
        <v>32</v>
      </c>
      <c r="C100" s="6" t="s">
        <v>138</v>
      </c>
      <c r="D100" s="5" t="s">
        <v>53</v>
      </c>
      <c r="E100" s="5"/>
    </row>
    <row r="101" spans="1:5" ht="15" customHeight="1" x14ac:dyDescent="0.25">
      <c r="A101" s="6">
        <v>7</v>
      </c>
      <c r="B101" s="5" t="s">
        <v>39</v>
      </c>
      <c r="C101" s="6" t="s">
        <v>139</v>
      </c>
      <c r="D101" s="5" t="s">
        <v>33</v>
      </c>
      <c r="E101" s="5"/>
    </row>
    <row r="102" spans="1:5" ht="26.25" customHeight="1" x14ac:dyDescent="0.25">
      <c r="A102" s="6">
        <v>8</v>
      </c>
      <c r="B102" s="5" t="s">
        <v>49</v>
      </c>
      <c r="C102" s="6" t="s">
        <v>140</v>
      </c>
      <c r="D102" s="5" t="s">
        <v>44</v>
      </c>
      <c r="E102" s="5"/>
    </row>
    <row r="103" spans="1:5" ht="15" customHeight="1" x14ac:dyDescent="0.25">
      <c r="A103" s="6">
        <v>4</v>
      </c>
      <c r="B103" s="5" t="s">
        <v>41</v>
      </c>
      <c r="C103" s="6" t="s">
        <v>141</v>
      </c>
      <c r="D103" s="5" t="s">
        <v>44</v>
      </c>
      <c r="E103" s="5"/>
    </row>
    <row r="104" spans="1:5" ht="15" customHeight="1" x14ac:dyDescent="0.25">
      <c r="A104" s="6">
        <v>1</v>
      </c>
      <c r="B104" s="5" t="s">
        <v>29</v>
      </c>
      <c r="C104" s="6" t="s">
        <v>142</v>
      </c>
      <c r="D104" s="5" t="s">
        <v>44</v>
      </c>
      <c r="E104" s="5"/>
    </row>
    <row r="105" spans="1:5" ht="26.25" customHeight="1" x14ac:dyDescent="0.25">
      <c r="A105" s="6">
        <v>1</v>
      </c>
      <c r="B105" s="5" t="s">
        <v>29</v>
      </c>
      <c r="C105" s="6" t="s">
        <v>143</v>
      </c>
      <c r="D105" s="5" t="s">
        <v>35</v>
      </c>
      <c r="E105" s="5"/>
    </row>
    <row r="106" spans="1:5" ht="26.25" customHeight="1" x14ac:dyDescent="0.25">
      <c r="A106" s="6">
        <v>6</v>
      </c>
      <c r="B106" s="5" t="s">
        <v>32</v>
      </c>
      <c r="C106" s="6" t="s">
        <v>144</v>
      </c>
      <c r="D106" s="5" t="s">
        <v>35</v>
      </c>
      <c r="E106" s="5"/>
    </row>
    <row r="107" spans="1:5" ht="26.25" customHeight="1" x14ac:dyDescent="0.25">
      <c r="A107" s="6">
        <v>2</v>
      </c>
      <c r="B107" s="5" t="s">
        <v>43</v>
      </c>
      <c r="C107" s="6" t="s">
        <v>145</v>
      </c>
      <c r="D107" s="5" t="s">
        <v>27</v>
      </c>
      <c r="E107" s="5"/>
    </row>
    <row r="108" spans="1:5" ht="26.25" customHeight="1" x14ac:dyDescent="0.25">
      <c r="A108" s="6">
        <v>2</v>
      </c>
      <c r="B108" s="5" t="s">
        <v>43</v>
      </c>
      <c r="C108" s="6" t="s">
        <v>146</v>
      </c>
      <c r="D108" s="5" t="s">
        <v>33</v>
      </c>
      <c r="E108" s="5"/>
    </row>
    <row r="109" spans="1:5" ht="26.25" customHeight="1" x14ac:dyDescent="0.25">
      <c r="A109" s="6">
        <v>3</v>
      </c>
      <c r="B109" s="5" t="s">
        <v>26</v>
      </c>
      <c r="C109" s="6" t="s">
        <v>147</v>
      </c>
      <c r="D109" s="5" t="s">
        <v>44</v>
      </c>
      <c r="E109" s="5"/>
    </row>
    <row r="110" spans="1:5" ht="15" customHeight="1" x14ac:dyDescent="0.25">
      <c r="A110" s="6">
        <v>7</v>
      </c>
      <c r="B110" s="5" t="s">
        <v>39</v>
      </c>
      <c r="C110" s="6" t="s">
        <v>148</v>
      </c>
      <c r="D110" s="5" t="s">
        <v>44</v>
      </c>
      <c r="E110" s="5"/>
    </row>
    <row r="111" spans="1:5" ht="26.25" customHeight="1" x14ac:dyDescent="0.25">
      <c r="A111" s="6">
        <v>5</v>
      </c>
      <c r="B111" s="5" t="s">
        <v>37</v>
      </c>
      <c r="C111" s="6" t="s">
        <v>149</v>
      </c>
      <c r="D111" s="5" t="s">
        <v>44</v>
      </c>
      <c r="E111" s="5"/>
    </row>
    <row r="112" spans="1:5" ht="15" customHeight="1" x14ac:dyDescent="0.25">
      <c r="A112" s="6">
        <v>7</v>
      </c>
      <c r="B112" s="5" t="s">
        <v>39</v>
      </c>
      <c r="C112" s="6" t="s">
        <v>150</v>
      </c>
      <c r="D112" s="5" t="s">
        <v>44</v>
      </c>
      <c r="E112" s="5"/>
    </row>
    <row r="113" spans="1:5" ht="15" customHeight="1" x14ac:dyDescent="0.25">
      <c r="A113" s="6">
        <v>3</v>
      </c>
      <c r="B113" s="5" t="s">
        <v>26</v>
      </c>
      <c r="C113" s="6" t="s">
        <v>151</v>
      </c>
      <c r="D113" s="5" t="s">
        <v>53</v>
      </c>
      <c r="E113" s="5"/>
    </row>
    <row r="114" spans="1:5" ht="15" customHeight="1" x14ac:dyDescent="0.25">
      <c r="A114" s="6">
        <v>3</v>
      </c>
      <c r="B114" s="5" t="s">
        <v>26</v>
      </c>
      <c r="C114" s="6" t="s">
        <v>152</v>
      </c>
      <c r="D114" s="5" t="s">
        <v>44</v>
      </c>
      <c r="E114" s="5"/>
    </row>
    <row r="115" spans="1:5" ht="15" customHeight="1" x14ac:dyDescent="0.25">
      <c r="A115" s="6">
        <v>5</v>
      </c>
      <c r="B115" s="5" t="s">
        <v>37</v>
      </c>
      <c r="C115" s="6" t="s">
        <v>153</v>
      </c>
      <c r="D115" s="5" t="s">
        <v>30</v>
      </c>
      <c r="E115" s="5"/>
    </row>
    <row r="116" spans="1:5" ht="15" customHeight="1" x14ac:dyDescent="0.25">
      <c r="A116" s="6">
        <v>8</v>
      </c>
      <c r="B116" s="5" t="s">
        <v>49</v>
      </c>
      <c r="C116" s="6" t="s">
        <v>154</v>
      </c>
      <c r="D116" s="5" t="s">
        <v>44</v>
      </c>
      <c r="E116" s="5"/>
    </row>
    <row r="117" spans="1:5" ht="15" customHeight="1" x14ac:dyDescent="0.25">
      <c r="A117" s="6">
        <v>4</v>
      </c>
      <c r="B117" s="5" t="s">
        <v>41</v>
      </c>
      <c r="C117" s="6" t="s">
        <v>155</v>
      </c>
      <c r="D117" s="5" t="s">
        <v>53</v>
      </c>
      <c r="E117" s="5"/>
    </row>
    <row r="118" spans="1:5" ht="15" customHeight="1" x14ac:dyDescent="0.25">
      <c r="A118" s="6">
        <v>6</v>
      </c>
      <c r="B118" s="5" t="s">
        <v>32</v>
      </c>
      <c r="C118" s="6" t="s">
        <v>156</v>
      </c>
      <c r="D118" s="5" t="s">
        <v>44</v>
      </c>
      <c r="E118" s="5"/>
    </row>
    <row r="119" spans="1:5" ht="15" customHeight="1" x14ac:dyDescent="0.25">
      <c r="A119" s="6">
        <v>9</v>
      </c>
      <c r="B119" s="5" t="s">
        <v>47</v>
      </c>
      <c r="C119" s="6" t="s">
        <v>157</v>
      </c>
      <c r="D119" s="5" t="s">
        <v>30</v>
      </c>
      <c r="E119" s="5"/>
    </row>
    <row r="120" spans="1:5" ht="26.25" customHeight="1" x14ac:dyDescent="0.25">
      <c r="A120" s="6">
        <v>2</v>
      </c>
      <c r="B120" s="5" t="s">
        <v>43</v>
      </c>
      <c r="C120" s="6" t="s">
        <v>158</v>
      </c>
      <c r="D120" s="5" t="s">
        <v>44</v>
      </c>
      <c r="E120" s="5"/>
    </row>
    <row r="121" spans="1:5" ht="15" customHeight="1" x14ac:dyDescent="0.25">
      <c r="A121" s="6">
        <v>8</v>
      </c>
      <c r="B121" s="5" t="s">
        <v>49</v>
      </c>
      <c r="C121" s="6" t="s">
        <v>159</v>
      </c>
      <c r="D121" s="5" t="s">
        <v>53</v>
      </c>
      <c r="E121" s="5"/>
    </row>
    <row r="122" spans="1:5" ht="15" customHeight="1" x14ac:dyDescent="0.25">
      <c r="A122" s="6">
        <v>8</v>
      </c>
      <c r="B122" s="5" t="s">
        <v>49</v>
      </c>
      <c r="C122" s="6" t="s">
        <v>160</v>
      </c>
      <c r="D122" s="5" t="s">
        <v>44</v>
      </c>
      <c r="E122" s="5"/>
    </row>
    <row r="123" spans="1:5" ht="15" customHeight="1" x14ac:dyDescent="0.25">
      <c r="A123" s="6">
        <v>7</v>
      </c>
      <c r="B123" s="5" t="s">
        <v>39</v>
      </c>
      <c r="C123" s="6" t="s">
        <v>161</v>
      </c>
      <c r="D123" s="5" t="s">
        <v>33</v>
      </c>
      <c r="E123" s="5"/>
    </row>
    <row r="124" spans="1:5" ht="15" customHeight="1" x14ac:dyDescent="0.25">
      <c r="A124" s="6">
        <v>6</v>
      </c>
      <c r="B124" s="5" t="s">
        <v>32</v>
      </c>
      <c r="C124" s="6" t="s">
        <v>162</v>
      </c>
      <c r="D124" s="5" t="s">
        <v>44</v>
      </c>
      <c r="E124" s="5"/>
    </row>
    <row r="125" spans="1:5" ht="26.25" customHeight="1" x14ac:dyDescent="0.25">
      <c r="A125" s="6">
        <v>4</v>
      </c>
      <c r="B125" s="5" t="s">
        <v>41</v>
      </c>
      <c r="C125" s="6" t="s">
        <v>163</v>
      </c>
      <c r="D125" s="5" t="s">
        <v>35</v>
      </c>
      <c r="E125" s="5"/>
    </row>
    <row r="126" spans="1:5" ht="26.25" customHeight="1" x14ac:dyDescent="0.25">
      <c r="A126" s="6">
        <v>1</v>
      </c>
      <c r="B126" s="5" t="s">
        <v>29</v>
      </c>
      <c r="C126" s="6" t="s">
        <v>164</v>
      </c>
      <c r="D126" s="5" t="s">
        <v>30</v>
      </c>
      <c r="E126" s="5"/>
    </row>
    <row r="127" spans="1:5" ht="26.25" customHeight="1" x14ac:dyDescent="0.25">
      <c r="A127" s="6">
        <v>5</v>
      </c>
      <c r="B127" s="5" t="s">
        <v>37</v>
      </c>
      <c r="C127" s="6" t="s">
        <v>165</v>
      </c>
      <c r="D127" s="5" t="s">
        <v>30</v>
      </c>
      <c r="E127" s="5"/>
    </row>
    <row r="128" spans="1:5" ht="15" customHeight="1" x14ac:dyDescent="0.25">
      <c r="A128" s="6">
        <v>9</v>
      </c>
      <c r="B128" s="5" t="s">
        <v>47</v>
      </c>
      <c r="C128" s="6" t="s">
        <v>166</v>
      </c>
      <c r="D128" s="5" t="s">
        <v>44</v>
      </c>
      <c r="E128" s="5"/>
    </row>
    <row r="129" spans="1:5" ht="15" customHeight="1" x14ac:dyDescent="0.25">
      <c r="A129" s="6">
        <v>3</v>
      </c>
      <c r="B129" s="5" t="s">
        <v>26</v>
      </c>
      <c r="C129" s="6" t="s">
        <v>167</v>
      </c>
      <c r="D129" s="5" t="s">
        <v>33</v>
      </c>
      <c r="E129" s="5"/>
    </row>
    <row r="130" spans="1:5" ht="15" customHeight="1" x14ac:dyDescent="0.25">
      <c r="A130" s="6">
        <v>5</v>
      </c>
      <c r="B130" s="5" t="s">
        <v>37</v>
      </c>
      <c r="C130" s="6" t="s">
        <v>168</v>
      </c>
      <c r="D130" s="5" t="s">
        <v>33</v>
      </c>
      <c r="E130" s="5"/>
    </row>
    <row r="131" spans="1:5" ht="15" customHeight="1" x14ac:dyDescent="0.25">
      <c r="A131" s="6">
        <v>9</v>
      </c>
      <c r="B131" s="5" t="s">
        <v>47</v>
      </c>
      <c r="C131" s="6" t="s">
        <v>169</v>
      </c>
      <c r="D131" s="5" t="s">
        <v>44</v>
      </c>
      <c r="E131" s="5"/>
    </row>
    <row r="132" spans="1:5" ht="15" customHeight="1" x14ac:dyDescent="0.25">
      <c r="A132" s="6">
        <v>4</v>
      </c>
      <c r="B132" s="5" t="s">
        <v>41</v>
      </c>
      <c r="C132" s="6" t="s">
        <v>170</v>
      </c>
      <c r="D132" s="5" t="s">
        <v>35</v>
      </c>
      <c r="E132" s="5"/>
    </row>
    <row r="133" spans="1:5" ht="15" customHeight="1" x14ac:dyDescent="0.25">
      <c r="A133" s="6">
        <v>1</v>
      </c>
      <c r="B133" s="5" t="s">
        <v>29</v>
      </c>
      <c r="C133" s="6" t="s">
        <v>171</v>
      </c>
      <c r="D133" s="5" t="s">
        <v>53</v>
      </c>
      <c r="E133" s="5"/>
    </row>
    <row r="134" spans="1:5" ht="26.25" customHeight="1" x14ac:dyDescent="0.25">
      <c r="A134" s="6">
        <v>2</v>
      </c>
      <c r="B134" s="5" t="s">
        <v>43</v>
      </c>
      <c r="C134" s="6" t="s">
        <v>172</v>
      </c>
      <c r="D134" s="5" t="s">
        <v>35</v>
      </c>
      <c r="E134" s="5"/>
    </row>
    <row r="135" spans="1:5" ht="15" customHeight="1" x14ac:dyDescent="0.25">
      <c r="A135" s="6">
        <v>6</v>
      </c>
      <c r="B135" s="5" t="s">
        <v>32</v>
      </c>
      <c r="C135" s="6" t="s">
        <v>173</v>
      </c>
      <c r="D135" s="5" t="s">
        <v>53</v>
      </c>
      <c r="E135" s="5"/>
    </row>
    <row r="136" spans="1:5" ht="15" customHeight="1" x14ac:dyDescent="0.25">
      <c r="A136" s="6">
        <v>7</v>
      </c>
      <c r="B136" s="5" t="s">
        <v>39</v>
      </c>
      <c r="C136" s="6" t="s">
        <v>174</v>
      </c>
      <c r="D136" s="5" t="s">
        <v>53</v>
      </c>
      <c r="E136" s="5"/>
    </row>
    <row r="137" spans="1:5" ht="26.25" customHeight="1" x14ac:dyDescent="0.25">
      <c r="A137" s="6">
        <v>4</v>
      </c>
      <c r="B137" s="5" t="s">
        <v>41</v>
      </c>
      <c r="C137" s="6" t="s">
        <v>175</v>
      </c>
      <c r="D137" s="5" t="s">
        <v>30</v>
      </c>
      <c r="E137" s="5"/>
    </row>
    <row r="138" spans="1:5" ht="15" customHeight="1" x14ac:dyDescent="0.25">
      <c r="A138" s="6">
        <v>5</v>
      </c>
      <c r="B138" s="5" t="s">
        <v>37</v>
      </c>
      <c r="C138" s="6" t="s">
        <v>176</v>
      </c>
      <c r="D138" s="5" t="s">
        <v>53</v>
      </c>
      <c r="E138" s="5"/>
    </row>
    <row r="139" spans="1:5" ht="15" customHeight="1" x14ac:dyDescent="0.25">
      <c r="A139" s="6">
        <v>3</v>
      </c>
      <c r="B139" s="5" t="s">
        <v>26</v>
      </c>
      <c r="C139" s="6" t="s">
        <v>177</v>
      </c>
      <c r="D139" s="5" t="s">
        <v>35</v>
      </c>
      <c r="E139" s="5"/>
    </row>
    <row r="140" spans="1:5" ht="15" customHeight="1" x14ac:dyDescent="0.25">
      <c r="A140" s="6">
        <v>6</v>
      </c>
      <c r="B140" s="5" t="s">
        <v>32</v>
      </c>
      <c r="C140" s="6" t="s">
        <v>178</v>
      </c>
      <c r="D140" s="5" t="s">
        <v>33</v>
      </c>
      <c r="E140" s="5"/>
    </row>
    <row r="141" spans="1:5" ht="15" customHeight="1" x14ac:dyDescent="0.25">
      <c r="A141" s="6">
        <v>9</v>
      </c>
      <c r="B141" s="5" t="s">
        <v>47</v>
      </c>
      <c r="C141" s="6" t="s">
        <v>179</v>
      </c>
      <c r="D141" s="5" t="s">
        <v>27</v>
      </c>
      <c r="E141" s="5"/>
    </row>
    <row r="142" spans="1:5" ht="26.25" customHeight="1" x14ac:dyDescent="0.25">
      <c r="A142" s="6">
        <v>7</v>
      </c>
      <c r="B142" s="5" t="s">
        <v>39</v>
      </c>
      <c r="C142" s="6" t="s">
        <v>180</v>
      </c>
      <c r="D142" s="5" t="s">
        <v>44</v>
      </c>
      <c r="E142" s="5"/>
    </row>
    <row r="143" spans="1:5" ht="26.25" customHeight="1" x14ac:dyDescent="0.25">
      <c r="A143" s="6">
        <v>1</v>
      </c>
      <c r="B143" s="5" t="s">
        <v>29</v>
      </c>
      <c r="C143" s="6" t="s">
        <v>181</v>
      </c>
      <c r="D143" s="5" t="s">
        <v>30</v>
      </c>
      <c r="E143" s="5"/>
    </row>
    <row r="144" spans="1:5" ht="26.25" customHeight="1" x14ac:dyDescent="0.25">
      <c r="A144" s="6">
        <v>8</v>
      </c>
      <c r="B144" s="5" t="s">
        <v>49</v>
      </c>
      <c r="C144" s="6" t="s">
        <v>182</v>
      </c>
      <c r="D144" s="5" t="s">
        <v>30</v>
      </c>
      <c r="E144" s="5"/>
    </row>
    <row r="145" spans="1:5" ht="26.25" customHeight="1" x14ac:dyDescent="0.25">
      <c r="A145" s="6">
        <v>2</v>
      </c>
      <c r="B145" s="5" t="s">
        <v>43</v>
      </c>
      <c r="C145" s="6" t="s">
        <v>183</v>
      </c>
      <c r="D145" s="5" t="s">
        <v>53</v>
      </c>
      <c r="E145" s="5"/>
    </row>
    <row r="146" spans="1:5" ht="15" customHeight="1" x14ac:dyDescent="0.25">
      <c r="A146" s="6">
        <v>2</v>
      </c>
      <c r="B146" s="5" t="s">
        <v>43</v>
      </c>
      <c r="C146" s="6" t="s">
        <v>184</v>
      </c>
      <c r="D146" s="5" t="s">
        <v>44</v>
      </c>
      <c r="E146" s="5"/>
    </row>
    <row r="147" spans="1:5" ht="15" customHeight="1" x14ac:dyDescent="0.25">
      <c r="A147" s="6">
        <v>8</v>
      </c>
      <c r="B147" s="5" t="s">
        <v>49</v>
      </c>
      <c r="C147" s="6" t="s">
        <v>185</v>
      </c>
      <c r="D147" s="5" t="s">
        <v>33</v>
      </c>
      <c r="E147" s="5"/>
    </row>
    <row r="148" spans="1:5" ht="15" customHeight="1" x14ac:dyDescent="0.25">
      <c r="A148" s="6">
        <v>9</v>
      </c>
      <c r="B148" s="5" t="s">
        <v>47</v>
      </c>
      <c r="C148" s="6" t="s">
        <v>186</v>
      </c>
      <c r="D148" s="5" t="s">
        <v>44</v>
      </c>
      <c r="E148" s="5"/>
    </row>
    <row r="149" spans="1:5" ht="15" customHeight="1" x14ac:dyDescent="0.25">
      <c r="A149" s="6">
        <v>6</v>
      </c>
      <c r="B149" s="5" t="s">
        <v>32</v>
      </c>
      <c r="C149" s="6" t="s">
        <v>187</v>
      </c>
      <c r="D149" s="5" t="s">
        <v>53</v>
      </c>
      <c r="E149" s="5"/>
    </row>
    <row r="150" spans="1:5" ht="26.25" customHeight="1" x14ac:dyDescent="0.25">
      <c r="A150" s="6">
        <v>1</v>
      </c>
      <c r="B150" s="5" t="s">
        <v>29</v>
      </c>
      <c r="C150" s="6" t="s">
        <v>188</v>
      </c>
      <c r="D150" s="5" t="s">
        <v>27</v>
      </c>
      <c r="E150" s="5"/>
    </row>
    <row r="151" spans="1:5" ht="26.25" customHeight="1" x14ac:dyDescent="0.25">
      <c r="A151" s="6">
        <v>4</v>
      </c>
      <c r="B151" s="5" t="s">
        <v>41</v>
      </c>
      <c r="C151" s="6" t="s">
        <v>189</v>
      </c>
      <c r="D151" s="5" t="s">
        <v>53</v>
      </c>
      <c r="E151" s="5"/>
    </row>
    <row r="152" spans="1:5" ht="15" customHeight="1" x14ac:dyDescent="0.25">
      <c r="A152" s="6">
        <v>7</v>
      </c>
      <c r="B152" s="5" t="s">
        <v>39</v>
      </c>
      <c r="C152" s="6" t="s">
        <v>190</v>
      </c>
      <c r="D152" s="5" t="s">
        <v>44</v>
      </c>
      <c r="E152" s="5"/>
    </row>
    <row r="153" spans="1:5" ht="15" customHeight="1" x14ac:dyDescent="0.25">
      <c r="A153" s="6">
        <v>3</v>
      </c>
      <c r="B153" s="5" t="s">
        <v>26</v>
      </c>
      <c r="C153" s="6" t="s">
        <v>191</v>
      </c>
      <c r="D153" s="5" t="s">
        <v>44</v>
      </c>
      <c r="E153" s="5"/>
    </row>
    <row r="154" spans="1:5" ht="15" customHeight="1" x14ac:dyDescent="0.25">
      <c r="A154" s="6">
        <v>5</v>
      </c>
      <c r="B154" s="5" t="s">
        <v>37</v>
      </c>
      <c r="C154" s="6" t="s">
        <v>192</v>
      </c>
      <c r="D154" s="5" t="s">
        <v>27</v>
      </c>
      <c r="E154" s="5"/>
    </row>
    <row r="155" spans="1:5" ht="26.25" customHeight="1" x14ac:dyDescent="0.25">
      <c r="A155" s="6">
        <v>7</v>
      </c>
      <c r="B155" s="5" t="s">
        <v>39</v>
      </c>
      <c r="C155" s="6" t="s">
        <v>193</v>
      </c>
      <c r="D155" s="5" t="s">
        <v>33</v>
      </c>
      <c r="E155" s="5"/>
    </row>
    <row r="156" spans="1:5" ht="15" customHeight="1" x14ac:dyDescent="0.25">
      <c r="A156" s="6">
        <v>6</v>
      </c>
      <c r="B156" s="5" t="s">
        <v>32</v>
      </c>
      <c r="C156" s="6" t="s">
        <v>194</v>
      </c>
      <c r="D156" s="5" t="s">
        <v>33</v>
      </c>
      <c r="E156" s="5"/>
    </row>
    <row r="157" spans="1:5" ht="15" customHeight="1" x14ac:dyDescent="0.25">
      <c r="A157" s="6">
        <v>8</v>
      </c>
      <c r="B157" s="5" t="s">
        <v>49</v>
      </c>
      <c r="C157" s="6" t="s">
        <v>195</v>
      </c>
      <c r="D157" s="5" t="s">
        <v>27</v>
      </c>
      <c r="E157" s="5"/>
    </row>
    <row r="158" spans="1:5" ht="26.25" customHeight="1" x14ac:dyDescent="0.25">
      <c r="A158" s="6">
        <v>1</v>
      </c>
      <c r="B158" s="5" t="s">
        <v>29</v>
      </c>
      <c r="C158" s="6" t="s">
        <v>196</v>
      </c>
      <c r="D158" s="5" t="s">
        <v>27</v>
      </c>
      <c r="E158" s="5"/>
    </row>
    <row r="159" spans="1:5" ht="15" customHeight="1" x14ac:dyDescent="0.25">
      <c r="A159" s="6">
        <v>4</v>
      </c>
      <c r="B159" s="5" t="s">
        <v>41</v>
      </c>
      <c r="C159" s="6" t="s">
        <v>197</v>
      </c>
      <c r="D159" s="5" t="s">
        <v>33</v>
      </c>
      <c r="E159" s="5"/>
    </row>
    <row r="160" spans="1:5" ht="26.25" customHeight="1" x14ac:dyDescent="0.25">
      <c r="A160" s="6">
        <v>5</v>
      </c>
      <c r="B160" s="5" t="s">
        <v>37</v>
      </c>
      <c r="C160" s="6" t="s">
        <v>198</v>
      </c>
      <c r="D160" s="5" t="s">
        <v>33</v>
      </c>
      <c r="E160" s="5"/>
    </row>
    <row r="161" spans="1:5" ht="26.25" customHeight="1" x14ac:dyDescent="0.25">
      <c r="A161" s="6">
        <v>9</v>
      </c>
      <c r="B161" s="5" t="s">
        <v>47</v>
      </c>
      <c r="C161" s="6" t="s">
        <v>199</v>
      </c>
      <c r="D161" s="5" t="s">
        <v>53</v>
      </c>
      <c r="E161" s="5"/>
    </row>
    <row r="162" spans="1:5" ht="26.25" customHeight="1" x14ac:dyDescent="0.25">
      <c r="A162" s="6">
        <v>3</v>
      </c>
      <c r="B162" s="5" t="s">
        <v>26</v>
      </c>
      <c r="C162" s="6" t="s">
        <v>200</v>
      </c>
      <c r="D162" s="5" t="s">
        <v>44</v>
      </c>
      <c r="E162" s="5"/>
    </row>
    <row r="163" spans="1:5" ht="26.25" customHeight="1" x14ac:dyDescent="0.25">
      <c r="A163" s="6">
        <v>2</v>
      </c>
      <c r="B163" s="5" t="s">
        <v>43</v>
      </c>
      <c r="C163" s="6" t="s">
        <v>201</v>
      </c>
      <c r="D163" s="5" t="s">
        <v>53</v>
      </c>
      <c r="E163" s="5"/>
    </row>
  </sheetData>
  <autoFilter ref="C1:E1" xr:uid="{00000000-0001-0000-0100-000000000000}"/>
  <dataValidations count="1">
    <dataValidation type="list" allowBlank="1" showErrorMessage="1" errorTitle="Risposta non valida" error="Seleziona SI oppure NO." sqref="E2:E163" xr:uid="{00000000-0002-0000-0100-000000000000}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18" customWidth="1"/>
    <col min="3" max="8" width="13" customWidth="1"/>
    <col min="9" max="9" width="15" customWidth="1"/>
    <col min="10" max="10" width="8" customWidth="1"/>
  </cols>
  <sheetData>
    <row r="1" spans="1:11" ht="17.25" customHeight="1" x14ac:dyDescent="0.25">
      <c r="A1" s="7" t="s">
        <v>202</v>
      </c>
    </row>
    <row r="3" spans="1:11" ht="26.25" customHeight="1" x14ac:dyDescent="0.25">
      <c r="A3" s="8" t="s">
        <v>22</v>
      </c>
      <c r="B3" s="8" t="s">
        <v>203</v>
      </c>
      <c r="C3" s="8" t="s">
        <v>33</v>
      </c>
      <c r="D3" s="8" t="s">
        <v>30</v>
      </c>
      <c r="E3" s="8" t="s">
        <v>35</v>
      </c>
      <c r="F3" s="8" t="s">
        <v>53</v>
      </c>
      <c r="G3" s="8" t="s">
        <v>27</v>
      </c>
      <c r="H3" s="8" t="s">
        <v>44</v>
      </c>
      <c r="I3" s="8" t="s">
        <v>204</v>
      </c>
      <c r="J3" s="8" t="s">
        <v>205</v>
      </c>
      <c r="K3" s="8"/>
    </row>
    <row r="4" spans="1:11" ht="15" customHeight="1" x14ac:dyDescent="0.25">
      <c r="A4" s="5" t="s">
        <v>206</v>
      </c>
      <c r="B4" s="5" t="s">
        <v>207</v>
      </c>
      <c r="C4" s="9">
        <f>COUNTIFS('Table 1'!$B$2:$B$163,"Tipo 1*",'Table 1'!$D$2:$D$163,"Motivazione",'Table 1'!$E$2:$E$163,"SI")</f>
        <v>0</v>
      </c>
      <c r="D4" s="9">
        <f>COUNTIFS('Table 1'!$B$2:$B$163,"Tipo 1*",'Table 1'!$D$2:$D$163,"Paura",'Table 1'!$E$2:$E$163,"SI")</f>
        <v>0</v>
      </c>
      <c r="E4" s="9">
        <f>COUNTIFS('Table 1'!$B$2:$B$163,"Tipo 1*",'Table 1'!$D$2:$D$163,"Strategia",'Table 1'!$E$2:$E$163,"SI")</f>
        <v>0</v>
      </c>
      <c r="F4" s="9">
        <f>COUNTIFS('Table 1'!$B$2:$B$163,"Tipo 1*",'Table 1'!$D$2:$D$163,"Relazioni",'Table 1'!$E$2:$E$163,"SI")</f>
        <v>0</v>
      </c>
      <c r="G4" s="9">
        <f>COUNTIFS('Table 1'!$B$2:$B$163,"Tipo 1*",'Table 1'!$D$2:$D$163,"Pressione",'Table 1'!$E$2:$E$163,"SI")</f>
        <v>0</v>
      </c>
      <c r="H4" s="9">
        <f>COUNTIFS('Table 1'!$B$2:$B$163,"Tipo 1*",'Table 1'!$D$2:$D$163,"Approfondimento",'Table 1'!$E$2:$E$163,"SI")</f>
        <v>0</v>
      </c>
      <c r="I4" s="10">
        <f t="shared" ref="I4:I12" si="0">SUM(C4:H4)</f>
        <v>0</v>
      </c>
      <c r="J4" s="9">
        <f t="shared" ref="J4:J12" si="1">ROUND(I4/18*100,0)</f>
        <v>0</v>
      </c>
      <c r="K4" s="5"/>
    </row>
    <row r="5" spans="1:11" ht="15" customHeight="1" x14ac:dyDescent="0.25">
      <c r="A5" s="5" t="s">
        <v>208</v>
      </c>
      <c r="B5" s="5" t="s">
        <v>209</v>
      </c>
      <c r="C5" s="9">
        <f>COUNTIFS('Table 1'!$B$2:$B$163,"Tipo 2*",'Table 1'!$D$2:$D$163,"Motivazione",'Table 1'!$E$2:$E$163,"SI")</f>
        <v>0</v>
      </c>
      <c r="D5" s="9">
        <f>COUNTIFS('Table 1'!$B$2:$B$163,"Tipo 2*",'Table 1'!$D$2:$D$163,"Paura",'Table 1'!$E$2:$E$163,"SI")</f>
        <v>0</v>
      </c>
      <c r="E5" s="9">
        <f>COUNTIFS('Table 1'!$B$2:$B$163,"Tipo 2*",'Table 1'!$D$2:$D$163,"Strategia",'Table 1'!$E$2:$E$163,"SI")</f>
        <v>0</v>
      </c>
      <c r="F5" s="9">
        <f>COUNTIFS('Table 1'!$B$2:$B$163,"Tipo 2*",'Table 1'!$D$2:$D$163,"Relazioni",'Table 1'!$E$2:$E$163,"SI")</f>
        <v>0</v>
      </c>
      <c r="G5" s="9">
        <f>COUNTIFS('Table 1'!$B$2:$B$163,"Tipo 2*",'Table 1'!$D$2:$D$163,"Pressione",'Table 1'!$E$2:$E$163,"SI")</f>
        <v>0</v>
      </c>
      <c r="H5" s="9">
        <f>COUNTIFS('Table 1'!$B$2:$B$163,"Tipo 2*",'Table 1'!$D$2:$D$163,"Approfondimento",'Table 1'!$E$2:$E$163,"SI")</f>
        <v>0</v>
      </c>
      <c r="I5" s="10">
        <f t="shared" si="0"/>
        <v>0</v>
      </c>
      <c r="J5" s="9">
        <f t="shared" si="1"/>
        <v>0</v>
      </c>
      <c r="K5" s="5"/>
    </row>
    <row r="6" spans="1:11" ht="15" customHeight="1" x14ac:dyDescent="0.25">
      <c r="A6" s="5" t="s">
        <v>210</v>
      </c>
      <c r="B6" s="5" t="s">
        <v>211</v>
      </c>
      <c r="C6" s="9">
        <f>COUNTIFS('Table 1'!$B$2:$B$163,"Tipo 3*",'Table 1'!$D$2:$D$163,"Motivazione",'Table 1'!$E$2:$E$163,"SI")</f>
        <v>0</v>
      </c>
      <c r="D6" s="9">
        <f>COUNTIFS('Table 1'!$B$2:$B$163,"Tipo 3*",'Table 1'!$D$2:$D$163,"Paura",'Table 1'!$E$2:$E$163,"SI")</f>
        <v>0</v>
      </c>
      <c r="E6" s="9">
        <f>COUNTIFS('Table 1'!$B$2:$B$163,"Tipo 3*",'Table 1'!$D$2:$D$163,"Strategia",'Table 1'!$E$2:$E$163,"SI")</f>
        <v>0</v>
      </c>
      <c r="F6" s="9">
        <f>COUNTIFS('Table 1'!$B$2:$B$163,"Tipo 3*",'Table 1'!$D$2:$D$163,"Relazioni",'Table 1'!$E$2:$E$163,"SI")</f>
        <v>0</v>
      </c>
      <c r="G6" s="9">
        <f>COUNTIFS('Table 1'!$B$2:$B$163,"Tipo 3*",'Table 1'!$D$2:$D$163,"Pressione",'Table 1'!$E$2:$E$163,"SI")</f>
        <v>0</v>
      </c>
      <c r="H6" s="9">
        <f>COUNTIFS('Table 1'!$B$2:$B$163,"Tipo 3*",'Table 1'!$D$2:$D$163,"Approfondimento",'Table 1'!$E$2:$E$163,"SI")</f>
        <v>0</v>
      </c>
      <c r="I6" s="10">
        <f t="shared" si="0"/>
        <v>0</v>
      </c>
      <c r="J6" s="9">
        <f t="shared" si="1"/>
        <v>0</v>
      </c>
      <c r="K6" s="5"/>
    </row>
    <row r="7" spans="1:11" ht="15" customHeight="1" x14ac:dyDescent="0.25">
      <c r="A7" s="5" t="s">
        <v>212</v>
      </c>
      <c r="B7" s="5" t="s">
        <v>213</v>
      </c>
      <c r="C7" s="9">
        <f>COUNTIFS('Table 1'!$B$2:$B$163,"Tipo 4*",'Table 1'!$D$2:$D$163,"Motivazione",'Table 1'!$E$2:$E$163,"SI")</f>
        <v>0</v>
      </c>
      <c r="D7" s="9">
        <f>COUNTIFS('Table 1'!$B$2:$B$163,"Tipo 4*",'Table 1'!$D$2:$D$163,"Paura",'Table 1'!$E$2:$E$163,"SI")</f>
        <v>0</v>
      </c>
      <c r="E7" s="9">
        <f>COUNTIFS('Table 1'!$B$2:$B$163,"Tipo 4*",'Table 1'!$D$2:$D$163,"Strategia",'Table 1'!$E$2:$E$163,"SI")</f>
        <v>0</v>
      </c>
      <c r="F7" s="9">
        <f>COUNTIFS('Table 1'!$B$2:$B$163,"Tipo 4*",'Table 1'!$D$2:$D$163,"Relazioni",'Table 1'!$E$2:$E$163,"SI")</f>
        <v>0</v>
      </c>
      <c r="G7" s="9">
        <f>COUNTIFS('Table 1'!$B$2:$B$163,"Tipo 4*",'Table 1'!$D$2:$D$163,"Pressione",'Table 1'!$E$2:$E$163,"SI")</f>
        <v>0</v>
      </c>
      <c r="H7" s="9">
        <f>COUNTIFS('Table 1'!$B$2:$B$163,"Tipo 4*",'Table 1'!$D$2:$D$163,"Approfondimento",'Table 1'!$E$2:$E$163,"SI")</f>
        <v>0</v>
      </c>
      <c r="I7" s="10">
        <f t="shared" si="0"/>
        <v>0</v>
      </c>
      <c r="J7" s="9">
        <f t="shared" si="1"/>
        <v>0</v>
      </c>
      <c r="K7" s="5"/>
    </row>
    <row r="8" spans="1:11" ht="15" customHeight="1" x14ac:dyDescent="0.25">
      <c r="A8" s="5" t="s">
        <v>214</v>
      </c>
      <c r="B8" s="5" t="s">
        <v>215</v>
      </c>
      <c r="C8" s="9">
        <f>COUNTIFS('Table 1'!$B$2:$B$163,"Tipo 5*",'Table 1'!$D$2:$D$163,"Motivazione",'Table 1'!$E$2:$E$163,"SI")</f>
        <v>0</v>
      </c>
      <c r="D8" s="9">
        <f>COUNTIFS('Table 1'!$B$2:$B$163,"Tipo 5*",'Table 1'!$D$2:$D$163,"Paura",'Table 1'!$E$2:$E$163,"SI")</f>
        <v>0</v>
      </c>
      <c r="E8" s="9">
        <f>COUNTIFS('Table 1'!$B$2:$B$163,"Tipo 5*",'Table 1'!$D$2:$D$163,"Strategia",'Table 1'!$E$2:$E$163,"SI")</f>
        <v>0</v>
      </c>
      <c r="F8" s="9">
        <f>COUNTIFS('Table 1'!$B$2:$B$163,"Tipo 5*",'Table 1'!$D$2:$D$163,"Relazioni",'Table 1'!$E$2:$E$163,"SI")</f>
        <v>0</v>
      </c>
      <c r="G8" s="9">
        <f>COUNTIFS('Table 1'!$B$2:$B$163,"Tipo 5*",'Table 1'!$D$2:$D$163,"Pressione",'Table 1'!$E$2:$E$163,"SI")</f>
        <v>0</v>
      </c>
      <c r="H8" s="9">
        <f>COUNTIFS('Table 1'!$B$2:$B$163,"Tipo 5*",'Table 1'!$D$2:$D$163,"Approfondimento",'Table 1'!$E$2:$E$163,"SI")</f>
        <v>0</v>
      </c>
      <c r="I8" s="10">
        <f t="shared" si="0"/>
        <v>0</v>
      </c>
      <c r="J8" s="9">
        <f t="shared" si="1"/>
        <v>0</v>
      </c>
      <c r="K8" s="5"/>
    </row>
    <row r="9" spans="1:11" ht="15" customHeight="1" x14ac:dyDescent="0.25">
      <c r="A9" s="5" t="s">
        <v>216</v>
      </c>
      <c r="B9" s="5" t="s">
        <v>217</v>
      </c>
      <c r="C9" s="9">
        <f>COUNTIFS('Table 1'!$B$2:$B$163,"Tipo 6*",'Table 1'!$D$2:$D$163,"Motivazione",'Table 1'!$E$2:$E$163,"SI")</f>
        <v>0</v>
      </c>
      <c r="D9" s="9">
        <f>COUNTIFS('Table 1'!$B$2:$B$163,"Tipo 6*",'Table 1'!$D$2:$D$163,"Paura",'Table 1'!$E$2:$E$163,"SI")</f>
        <v>0</v>
      </c>
      <c r="E9" s="9">
        <f>COUNTIFS('Table 1'!$B$2:$B$163,"Tipo 6*",'Table 1'!$D$2:$D$163,"Strategia",'Table 1'!$E$2:$E$163,"SI")</f>
        <v>0</v>
      </c>
      <c r="F9" s="9">
        <f>COUNTIFS('Table 1'!$B$2:$B$163,"Tipo 6*",'Table 1'!$D$2:$D$163,"Relazioni",'Table 1'!$E$2:$E$163,"SI")</f>
        <v>0</v>
      </c>
      <c r="G9" s="9">
        <f>COUNTIFS('Table 1'!$B$2:$B$163,"Tipo 6*",'Table 1'!$D$2:$D$163,"Pressione",'Table 1'!$E$2:$E$163,"SI")</f>
        <v>0</v>
      </c>
      <c r="H9" s="9">
        <f>COUNTIFS('Table 1'!$B$2:$B$163,"Tipo 6*",'Table 1'!$D$2:$D$163,"Approfondimento",'Table 1'!$E$2:$E$163,"SI")</f>
        <v>0</v>
      </c>
      <c r="I9" s="10">
        <f t="shared" si="0"/>
        <v>0</v>
      </c>
      <c r="J9" s="9">
        <f t="shared" si="1"/>
        <v>0</v>
      </c>
      <c r="K9" s="5"/>
    </row>
    <row r="10" spans="1:11" ht="15" customHeight="1" x14ac:dyDescent="0.25">
      <c r="A10" s="5" t="s">
        <v>218</v>
      </c>
      <c r="B10" s="5" t="s">
        <v>219</v>
      </c>
      <c r="C10" s="9">
        <f>COUNTIFS('Table 1'!$B$2:$B$163,"Tipo 7*",'Table 1'!$D$2:$D$163,"Motivazione",'Table 1'!$E$2:$E$163,"SI")</f>
        <v>0</v>
      </c>
      <c r="D10" s="9">
        <f>COUNTIFS('Table 1'!$B$2:$B$163,"Tipo 7*",'Table 1'!$D$2:$D$163,"Paura",'Table 1'!$E$2:$E$163,"SI")</f>
        <v>0</v>
      </c>
      <c r="E10" s="9">
        <f>COUNTIFS('Table 1'!$B$2:$B$163,"Tipo 7*",'Table 1'!$D$2:$D$163,"Strategia",'Table 1'!$E$2:$E$163,"SI")</f>
        <v>0</v>
      </c>
      <c r="F10" s="9">
        <f>COUNTIFS('Table 1'!$B$2:$B$163,"Tipo 7*",'Table 1'!$D$2:$D$163,"Relazioni",'Table 1'!$E$2:$E$163,"SI")</f>
        <v>0</v>
      </c>
      <c r="G10" s="9">
        <f>COUNTIFS('Table 1'!$B$2:$B$163,"Tipo 7*",'Table 1'!$D$2:$D$163,"Pressione",'Table 1'!$E$2:$E$163,"SI")</f>
        <v>0</v>
      </c>
      <c r="H10" s="9">
        <f>COUNTIFS('Table 1'!$B$2:$B$163,"Tipo 7*",'Table 1'!$D$2:$D$163,"Approfondimento",'Table 1'!$E$2:$E$163,"SI")</f>
        <v>0</v>
      </c>
      <c r="I10" s="10">
        <f t="shared" si="0"/>
        <v>0</v>
      </c>
      <c r="J10" s="9">
        <f t="shared" si="1"/>
        <v>0</v>
      </c>
      <c r="K10" s="5"/>
    </row>
    <row r="11" spans="1:11" ht="15" customHeight="1" x14ac:dyDescent="0.25">
      <c r="A11" s="5" t="s">
        <v>220</v>
      </c>
      <c r="B11" s="5" t="s">
        <v>221</v>
      </c>
      <c r="C11" s="9">
        <f>COUNTIFS('Table 1'!$B$2:$B$163,"Tipo 8*",'Table 1'!$D$2:$D$163,"Motivazione",'Table 1'!$E$2:$E$163,"SI")</f>
        <v>0</v>
      </c>
      <c r="D11" s="9">
        <f>COUNTIFS('Table 1'!$B$2:$B$163,"Tipo 8*",'Table 1'!$D$2:$D$163,"Paura",'Table 1'!$E$2:$E$163,"SI")</f>
        <v>0</v>
      </c>
      <c r="E11" s="9">
        <f>COUNTIFS('Table 1'!$B$2:$B$163,"Tipo 8*",'Table 1'!$D$2:$D$163,"Strategia",'Table 1'!$E$2:$E$163,"SI")</f>
        <v>0</v>
      </c>
      <c r="F11" s="9">
        <f>COUNTIFS('Table 1'!$B$2:$B$163,"Tipo 8*",'Table 1'!$D$2:$D$163,"Relazioni",'Table 1'!$E$2:$E$163,"SI")</f>
        <v>0</v>
      </c>
      <c r="G11" s="9">
        <f>COUNTIFS('Table 1'!$B$2:$B$163,"Tipo 8*",'Table 1'!$D$2:$D$163,"Pressione",'Table 1'!$E$2:$E$163,"SI")</f>
        <v>0</v>
      </c>
      <c r="H11" s="9">
        <f>COUNTIFS('Table 1'!$B$2:$B$163,"Tipo 8*",'Table 1'!$D$2:$D$163,"Approfondimento",'Table 1'!$E$2:$E$163,"SI")</f>
        <v>0</v>
      </c>
      <c r="I11" s="10">
        <f t="shared" si="0"/>
        <v>0</v>
      </c>
      <c r="J11" s="9">
        <f t="shared" si="1"/>
        <v>0</v>
      </c>
      <c r="K11" s="5"/>
    </row>
    <row r="12" spans="1:11" ht="15" customHeight="1" x14ac:dyDescent="0.25">
      <c r="A12" s="5" t="s">
        <v>222</v>
      </c>
      <c r="B12" s="5" t="s">
        <v>223</v>
      </c>
      <c r="C12" s="9">
        <f>COUNTIFS('Table 1'!$B$2:$B$163,"Tipo 9*",'Table 1'!$D$2:$D$163,"Motivazione",'Table 1'!$E$2:$E$163,"SI")</f>
        <v>0</v>
      </c>
      <c r="D12" s="9">
        <f>COUNTIFS('Table 1'!$B$2:$B$163,"Tipo 9*",'Table 1'!$D$2:$D$163,"Paura",'Table 1'!$E$2:$E$163,"SI")</f>
        <v>0</v>
      </c>
      <c r="E12" s="9">
        <f>COUNTIFS('Table 1'!$B$2:$B$163,"Tipo 9*",'Table 1'!$D$2:$D$163,"Strategia",'Table 1'!$E$2:$E$163,"SI")</f>
        <v>0</v>
      </c>
      <c r="F12" s="9">
        <f>COUNTIFS('Table 1'!$B$2:$B$163,"Tipo 9*",'Table 1'!$D$2:$D$163,"Relazioni",'Table 1'!$E$2:$E$163,"SI")</f>
        <v>0</v>
      </c>
      <c r="G12" s="9">
        <f>COUNTIFS('Table 1'!$B$2:$B$163,"Tipo 9*",'Table 1'!$D$2:$D$163,"Pressione",'Table 1'!$E$2:$E$163,"SI")</f>
        <v>0</v>
      </c>
      <c r="H12" s="9">
        <f>COUNTIFS('Table 1'!$B$2:$B$163,"Tipo 9*",'Table 1'!$D$2:$D$163,"Approfondimento",'Table 1'!$E$2:$E$163,"SI")</f>
        <v>0</v>
      </c>
      <c r="I12" s="10">
        <f t="shared" si="0"/>
        <v>0</v>
      </c>
      <c r="J12" s="9">
        <f t="shared" si="1"/>
        <v>0</v>
      </c>
      <c r="K12" s="5"/>
    </row>
    <row r="14" spans="1:11" ht="15" customHeight="1" x14ac:dyDescent="0.25">
      <c r="A14" s="11" t="s">
        <v>224</v>
      </c>
    </row>
    <row r="15" spans="1:11" ht="15" customHeight="1" x14ac:dyDescent="0.25">
      <c r="A15" s="12" t="s">
        <v>225</v>
      </c>
      <c r="B15" s="13" t="str">
        <f>INDEX($A$4:$B$12,MATCH(MAX($I$4:$I$12),$I$4:$I$12,0),2)</f>
        <v>Il Riformatore</v>
      </c>
      <c r="D15" s="12" t="s">
        <v>226</v>
      </c>
      <c r="E15" s="13">
        <f>MAX($I$4:$I$12)</f>
        <v>0</v>
      </c>
    </row>
    <row r="16" spans="1:11" ht="15" customHeight="1" x14ac:dyDescent="0.25">
      <c r="A16" s="12" t="s">
        <v>227</v>
      </c>
      <c r="B16" s="13" t="str">
        <f>INDEX($A$4:$B$12,MATCH(LARGE($I$4:$I$12,2),$I$4:$I$12,0),2)</f>
        <v>Il Riformatore</v>
      </c>
      <c r="D16" s="12" t="s">
        <v>228</v>
      </c>
      <c r="E16" s="13">
        <f>LARGE($I$4:$I$12,2)</f>
        <v>0</v>
      </c>
    </row>
    <row r="17" spans="1:8" ht="15" customHeight="1" x14ac:dyDescent="0.25">
      <c r="A17" s="12" t="s">
        <v>229</v>
      </c>
      <c r="B17" s="13" t="str">
        <f>INDEX($A$4:$B$12,IF(MATCH(MAX($I$4:$I$12),$I$4:$I$12,0)=1,9,MATCH(MAX($I$4:$I$12),$I$4:$I$12,0)-1),2)</f>
        <v>Il Pacificatore</v>
      </c>
      <c r="D17" s="12" t="s">
        <v>230</v>
      </c>
      <c r="E17" s="13">
        <f>INDEX($I$4:$I$12,IF(MATCH(MAX($I$4:$I$12),$I$4:$I$12,0)=1,9,MATCH(MAX($I$4:$I$12),$I$4:$I$12,0)-1))</f>
        <v>0</v>
      </c>
    </row>
    <row r="18" spans="1:8" ht="15" customHeight="1" x14ac:dyDescent="0.25">
      <c r="A18" s="12" t="s">
        <v>231</v>
      </c>
      <c r="B18" s="13" t="str">
        <f>INDEX($A$4:$B$12,IF(MATCH(MAX($I$4:$I$12),$I$4:$I$12,0)=9,1,MATCH(MAX($I$4:$I$12),$I$4:$I$12,0)+1),2)</f>
        <v>L'Altruista</v>
      </c>
      <c r="D18" s="12" t="s">
        <v>232</v>
      </c>
      <c r="E18" s="13">
        <f>INDEX($I$4:$I$12,IF(MATCH(MAX($I$4:$I$12),$I$4:$I$12,0)=9,1,MATCH(MAX($I$4:$I$12),$I$4:$I$12,0)+1))</f>
        <v>0</v>
      </c>
    </row>
    <row r="19" spans="1:8" ht="15" customHeight="1" x14ac:dyDescent="0.25">
      <c r="A19" s="17" t="s">
        <v>233</v>
      </c>
      <c r="B19" s="18"/>
      <c r="C19" s="18"/>
      <c r="D19" s="18"/>
      <c r="E19" s="18"/>
      <c r="F19" s="18"/>
      <c r="G19" s="18"/>
      <c r="H19" s="18"/>
    </row>
    <row r="20" spans="1:8" ht="15" customHeight="1" x14ac:dyDescent="0.25">
      <c r="A20" s="13"/>
    </row>
    <row r="21" spans="1:8" ht="15" customHeight="1" x14ac:dyDescent="0.25">
      <c r="A21" s="11" t="s">
        <v>234</v>
      </c>
    </row>
    <row r="22" spans="1:8" ht="15" customHeight="1" x14ac:dyDescent="0.25">
      <c r="A22" s="13" t="s">
        <v>235</v>
      </c>
      <c r="B22" s="13">
        <f>COUNTIF('Table 1'!$E$2:$E$163,"SI")</f>
        <v>0</v>
      </c>
    </row>
    <row r="23" spans="1:8" ht="23.25" customHeight="1" x14ac:dyDescent="0.25">
      <c r="A23" s="14" t="s">
        <v>236</v>
      </c>
      <c r="B23" s="13">
        <f>COUNTIF('Table 1'!$E$2:$E$163,"NO")</f>
        <v>0</v>
      </c>
    </row>
    <row r="24" spans="1:8" ht="15" customHeight="1" x14ac:dyDescent="0.25">
      <c r="A24" s="13" t="s">
        <v>237</v>
      </c>
      <c r="B24" s="13">
        <f>COUNTBLANK('Table 1'!$E$2:$E$163)</f>
        <v>162</v>
      </c>
    </row>
    <row r="26" spans="1:8" ht="35.1" customHeight="1" x14ac:dyDescent="0.25">
      <c r="A26" s="17" t="s">
        <v>238</v>
      </c>
      <c r="B26" s="18"/>
      <c r="C26" s="18"/>
      <c r="D26" s="18"/>
      <c r="E26" s="18"/>
      <c r="F26" s="18"/>
      <c r="G26" s="18"/>
      <c r="H26" s="18"/>
    </row>
  </sheetData>
  <mergeCells count="2">
    <mergeCell ref="A26:H26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67"/>
  <sheetViews>
    <sheetView showGridLines="0" zoomScaleNormal="100" workbookViewId="0"/>
  </sheetViews>
  <sheetFormatPr defaultColWidth="8.7109375" defaultRowHeight="15" x14ac:dyDescent="0.25"/>
  <cols>
    <col min="2" max="2" width="32" customWidth="1"/>
    <col min="3" max="3" width="95" customWidth="1"/>
  </cols>
  <sheetData>
    <row r="1" spans="2:3" ht="17.25" customHeight="1" x14ac:dyDescent="0.25">
      <c r="B1" s="7" t="s">
        <v>239</v>
      </c>
    </row>
    <row r="3" spans="2:3" ht="15" customHeight="1" x14ac:dyDescent="0.25">
      <c r="B3" s="11" t="s">
        <v>240</v>
      </c>
    </row>
    <row r="4" spans="2:3" ht="216" customHeight="1" x14ac:dyDescent="0.25">
      <c r="B4" s="15" t="s">
        <v>241</v>
      </c>
    </row>
    <row r="6" spans="2:3" ht="15" customHeight="1" x14ac:dyDescent="0.25">
      <c r="B6" s="11" t="s">
        <v>242</v>
      </c>
    </row>
    <row r="7" spans="2:3" ht="15" customHeight="1" x14ac:dyDescent="0.25">
      <c r="B7" s="12" t="s">
        <v>243</v>
      </c>
      <c r="C7" s="15" t="s">
        <v>244</v>
      </c>
    </row>
    <row r="8" spans="2:3" ht="15" customHeight="1" x14ac:dyDescent="0.25">
      <c r="B8" s="12" t="s">
        <v>245</v>
      </c>
      <c r="C8" s="15" t="s">
        <v>246</v>
      </c>
    </row>
    <row r="9" spans="2:3" ht="15" customHeight="1" x14ac:dyDescent="0.25">
      <c r="B9" s="12" t="s">
        <v>247</v>
      </c>
      <c r="C9" s="15" t="s">
        <v>248</v>
      </c>
    </row>
    <row r="10" spans="2:3" ht="15" customHeight="1" x14ac:dyDescent="0.25">
      <c r="B10" s="12" t="s">
        <v>249</v>
      </c>
      <c r="C10" s="15" t="s">
        <v>250</v>
      </c>
    </row>
    <row r="11" spans="2:3" ht="27.75" customHeight="1" x14ac:dyDescent="0.25">
      <c r="B11" s="12" t="s">
        <v>251</v>
      </c>
      <c r="C11" s="15" t="s">
        <v>252</v>
      </c>
    </row>
    <row r="13" spans="2:3" ht="15" customHeight="1" x14ac:dyDescent="0.25">
      <c r="B13" s="11" t="s">
        <v>253</v>
      </c>
    </row>
    <row r="14" spans="2:3" ht="15" customHeight="1" x14ac:dyDescent="0.25">
      <c r="B14" s="12" t="s">
        <v>243</v>
      </c>
      <c r="C14" s="15" t="s">
        <v>254</v>
      </c>
    </row>
    <row r="15" spans="2:3" ht="15" customHeight="1" x14ac:dyDescent="0.25">
      <c r="B15" s="12" t="s">
        <v>245</v>
      </c>
      <c r="C15" s="15" t="s">
        <v>255</v>
      </c>
    </row>
    <row r="16" spans="2:3" ht="15" customHeight="1" x14ac:dyDescent="0.25">
      <c r="B16" s="12" t="s">
        <v>247</v>
      </c>
      <c r="C16" s="15" t="s">
        <v>248</v>
      </c>
    </row>
    <row r="17" spans="2:3" ht="15" customHeight="1" x14ac:dyDescent="0.25">
      <c r="B17" s="12" t="s">
        <v>249</v>
      </c>
      <c r="C17" s="15" t="s">
        <v>250</v>
      </c>
    </row>
    <row r="18" spans="2:3" ht="27.75" customHeight="1" x14ac:dyDescent="0.25">
      <c r="B18" s="12" t="s">
        <v>251</v>
      </c>
      <c r="C18" s="15" t="s">
        <v>252</v>
      </c>
    </row>
    <row r="20" spans="2:3" ht="15" customHeight="1" x14ac:dyDescent="0.25">
      <c r="B20" s="11" t="s">
        <v>256</v>
      </c>
    </row>
    <row r="21" spans="2:3" ht="15" customHeight="1" x14ac:dyDescent="0.25">
      <c r="B21" s="12" t="s">
        <v>243</v>
      </c>
      <c r="C21" s="15" t="s">
        <v>257</v>
      </c>
    </row>
    <row r="22" spans="2:3" ht="15" customHeight="1" x14ac:dyDescent="0.25">
      <c r="B22" s="12" t="s">
        <v>245</v>
      </c>
      <c r="C22" s="15" t="s">
        <v>258</v>
      </c>
    </row>
    <row r="23" spans="2:3" ht="15" customHeight="1" x14ac:dyDescent="0.25">
      <c r="B23" s="12" t="s">
        <v>247</v>
      </c>
      <c r="C23" s="15" t="s">
        <v>248</v>
      </c>
    </row>
    <row r="24" spans="2:3" ht="15" customHeight="1" x14ac:dyDescent="0.25">
      <c r="B24" s="12" t="s">
        <v>249</v>
      </c>
      <c r="C24" s="15" t="s">
        <v>250</v>
      </c>
    </row>
    <row r="25" spans="2:3" ht="27.75" customHeight="1" x14ac:dyDescent="0.25">
      <c r="B25" s="12" t="s">
        <v>251</v>
      </c>
      <c r="C25" s="15" t="s">
        <v>252</v>
      </c>
    </row>
    <row r="27" spans="2:3" ht="15" customHeight="1" x14ac:dyDescent="0.25">
      <c r="B27" s="11" t="s">
        <v>259</v>
      </c>
    </row>
    <row r="28" spans="2:3" ht="15" customHeight="1" x14ac:dyDescent="0.25">
      <c r="B28" s="12" t="s">
        <v>243</v>
      </c>
      <c r="C28" s="15" t="s">
        <v>260</v>
      </c>
    </row>
    <row r="29" spans="2:3" ht="15" customHeight="1" x14ac:dyDescent="0.25">
      <c r="B29" s="12" t="s">
        <v>245</v>
      </c>
      <c r="C29" s="15" t="s">
        <v>261</v>
      </c>
    </row>
    <row r="30" spans="2:3" ht="15" customHeight="1" x14ac:dyDescent="0.25">
      <c r="B30" s="12" t="s">
        <v>247</v>
      </c>
      <c r="C30" s="15" t="s">
        <v>248</v>
      </c>
    </row>
    <row r="31" spans="2:3" ht="15" customHeight="1" x14ac:dyDescent="0.25">
      <c r="B31" s="12" t="s">
        <v>249</v>
      </c>
      <c r="C31" s="15" t="s">
        <v>250</v>
      </c>
    </row>
    <row r="32" spans="2:3" ht="27.75" customHeight="1" x14ac:dyDescent="0.25">
      <c r="B32" s="12" t="s">
        <v>251</v>
      </c>
      <c r="C32" s="15" t="s">
        <v>252</v>
      </c>
    </row>
    <row r="34" spans="2:3" ht="15" customHeight="1" x14ac:dyDescent="0.25">
      <c r="B34" s="11" t="s">
        <v>262</v>
      </c>
    </row>
    <row r="35" spans="2:3" ht="15" customHeight="1" x14ac:dyDescent="0.25">
      <c r="B35" s="12" t="s">
        <v>243</v>
      </c>
      <c r="C35" s="15" t="s">
        <v>263</v>
      </c>
    </row>
    <row r="36" spans="2:3" ht="15" customHeight="1" x14ac:dyDescent="0.25">
      <c r="B36" s="12" t="s">
        <v>245</v>
      </c>
      <c r="C36" s="15" t="s">
        <v>264</v>
      </c>
    </row>
    <row r="37" spans="2:3" ht="15" customHeight="1" x14ac:dyDescent="0.25">
      <c r="B37" s="12" t="s">
        <v>247</v>
      </c>
      <c r="C37" s="15" t="s">
        <v>248</v>
      </c>
    </row>
    <row r="38" spans="2:3" ht="15" customHeight="1" x14ac:dyDescent="0.25">
      <c r="B38" s="12" t="s">
        <v>249</v>
      </c>
      <c r="C38" s="15" t="s">
        <v>250</v>
      </c>
    </row>
    <row r="39" spans="2:3" ht="27.75" customHeight="1" x14ac:dyDescent="0.25">
      <c r="B39" s="12" t="s">
        <v>251</v>
      </c>
      <c r="C39" s="15" t="s">
        <v>252</v>
      </c>
    </row>
    <row r="41" spans="2:3" ht="15" customHeight="1" x14ac:dyDescent="0.25">
      <c r="B41" s="11" t="s">
        <v>265</v>
      </c>
    </row>
    <row r="42" spans="2:3" ht="15" customHeight="1" x14ac:dyDescent="0.25">
      <c r="B42" s="12" t="s">
        <v>243</v>
      </c>
      <c r="C42" s="15" t="s">
        <v>266</v>
      </c>
    </row>
    <row r="43" spans="2:3" ht="15" customHeight="1" x14ac:dyDescent="0.25">
      <c r="B43" s="12" t="s">
        <v>245</v>
      </c>
      <c r="C43" s="15" t="s">
        <v>267</v>
      </c>
    </row>
    <row r="44" spans="2:3" ht="15" customHeight="1" x14ac:dyDescent="0.25">
      <c r="B44" s="12" t="s">
        <v>247</v>
      </c>
      <c r="C44" s="15" t="s">
        <v>248</v>
      </c>
    </row>
    <row r="45" spans="2:3" ht="15" customHeight="1" x14ac:dyDescent="0.25">
      <c r="B45" s="12" t="s">
        <v>249</v>
      </c>
      <c r="C45" s="15" t="s">
        <v>250</v>
      </c>
    </row>
    <row r="46" spans="2:3" ht="27.75" customHeight="1" x14ac:dyDescent="0.25">
      <c r="B46" s="12" t="s">
        <v>251</v>
      </c>
      <c r="C46" s="15" t="s">
        <v>252</v>
      </c>
    </row>
    <row r="48" spans="2:3" ht="15" customHeight="1" x14ac:dyDescent="0.25">
      <c r="B48" s="11" t="s">
        <v>268</v>
      </c>
    </row>
    <row r="49" spans="2:3" ht="15" customHeight="1" x14ac:dyDescent="0.25">
      <c r="B49" s="12" t="s">
        <v>243</v>
      </c>
      <c r="C49" s="15" t="s">
        <v>269</v>
      </c>
    </row>
    <row r="50" spans="2:3" ht="15" customHeight="1" x14ac:dyDescent="0.25">
      <c r="B50" s="12" t="s">
        <v>245</v>
      </c>
      <c r="C50" s="15" t="s">
        <v>270</v>
      </c>
    </row>
    <row r="51" spans="2:3" ht="15" customHeight="1" x14ac:dyDescent="0.25">
      <c r="B51" s="12" t="s">
        <v>247</v>
      </c>
      <c r="C51" s="15" t="s">
        <v>248</v>
      </c>
    </row>
    <row r="52" spans="2:3" ht="15" customHeight="1" x14ac:dyDescent="0.25">
      <c r="B52" s="12" t="s">
        <v>249</v>
      </c>
      <c r="C52" s="15" t="s">
        <v>250</v>
      </c>
    </row>
    <row r="53" spans="2:3" ht="27.75" customHeight="1" x14ac:dyDescent="0.25">
      <c r="B53" s="12" t="s">
        <v>251</v>
      </c>
      <c r="C53" s="15" t="s">
        <v>252</v>
      </c>
    </row>
    <row r="55" spans="2:3" ht="15" customHeight="1" x14ac:dyDescent="0.25">
      <c r="B55" s="11" t="s">
        <v>271</v>
      </c>
    </row>
    <row r="56" spans="2:3" ht="15" customHeight="1" x14ac:dyDescent="0.25">
      <c r="B56" s="12" t="s">
        <v>243</v>
      </c>
      <c r="C56" s="15" t="s">
        <v>272</v>
      </c>
    </row>
    <row r="57" spans="2:3" ht="15" customHeight="1" x14ac:dyDescent="0.25">
      <c r="B57" s="12" t="s">
        <v>245</v>
      </c>
      <c r="C57" s="15" t="s">
        <v>273</v>
      </c>
    </row>
    <row r="58" spans="2:3" ht="15" customHeight="1" x14ac:dyDescent="0.25">
      <c r="B58" s="12" t="s">
        <v>247</v>
      </c>
      <c r="C58" s="15" t="s">
        <v>248</v>
      </c>
    </row>
    <row r="59" spans="2:3" ht="15" customHeight="1" x14ac:dyDescent="0.25">
      <c r="B59" s="12" t="s">
        <v>249</v>
      </c>
      <c r="C59" s="15" t="s">
        <v>250</v>
      </c>
    </row>
    <row r="60" spans="2:3" ht="27.75" customHeight="1" x14ac:dyDescent="0.25">
      <c r="B60" s="12" t="s">
        <v>251</v>
      </c>
      <c r="C60" s="15" t="s">
        <v>252</v>
      </c>
    </row>
    <row r="62" spans="2:3" ht="15" customHeight="1" x14ac:dyDescent="0.25">
      <c r="B62" s="11" t="s">
        <v>274</v>
      </c>
    </row>
    <row r="63" spans="2:3" ht="15" customHeight="1" x14ac:dyDescent="0.25">
      <c r="B63" s="12" t="s">
        <v>243</v>
      </c>
      <c r="C63" s="15" t="s">
        <v>275</v>
      </c>
    </row>
    <row r="64" spans="2:3" ht="15" customHeight="1" x14ac:dyDescent="0.25">
      <c r="B64" s="12" t="s">
        <v>245</v>
      </c>
      <c r="C64" s="15" t="s">
        <v>276</v>
      </c>
    </row>
    <row r="65" spans="2:3" ht="15" customHeight="1" x14ac:dyDescent="0.25">
      <c r="B65" s="12" t="s">
        <v>247</v>
      </c>
      <c r="C65" s="15" t="s">
        <v>248</v>
      </c>
    </row>
    <row r="66" spans="2:3" ht="15" customHeight="1" x14ac:dyDescent="0.25">
      <c r="B66" s="12" t="s">
        <v>249</v>
      </c>
      <c r="C66" s="15" t="s">
        <v>250</v>
      </c>
    </row>
    <row r="67" spans="2:3" ht="27.75" customHeight="1" x14ac:dyDescent="0.25">
      <c r="B67" s="12" t="s">
        <v>251</v>
      </c>
      <c r="C67" s="15" t="s">
        <v>252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pane ySplit="1" topLeftCell="A2" activePane="bottomLeft" state="frozen"/>
      <selection pane="bottomLeft" activeCell="C41" sqref="C41"/>
    </sheetView>
  </sheetViews>
  <sheetFormatPr defaultRowHeight="15" x14ac:dyDescent="0.25"/>
  <cols>
    <col min="1" max="1" width="28" customWidth="1"/>
    <col min="2" max="2" width="14" customWidth="1"/>
    <col min="3" max="3" width="24" customWidth="1"/>
    <col min="4" max="4" width="20" customWidth="1"/>
    <col min="5" max="5" width="90" customWidth="1"/>
  </cols>
  <sheetData>
    <row r="1" spans="1:5" x14ac:dyDescent="0.25">
      <c r="A1" s="16" t="s">
        <v>22</v>
      </c>
      <c r="B1" s="16" t="s">
        <v>277</v>
      </c>
      <c r="C1" s="16" t="s">
        <v>278</v>
      </c>
      <c r="D1" s="16" t="s">
        <v>279</v>
      </c>
      <c r="E1" s="16" t="s">
        <v>280</v>
      </c>
    </row>
    <row r="2" spans="1:5" x14ac:dyDescent="0.25">
      <c r="A2" t="s">
        <v>29</v>
      </c>
      <c r="B2" t="s">
        <v>281</v>
      </c>
      <c r="C2" t="s">
        <v>282</v>
      </c>
      <c r="D2" t="s">
        <v>283</v>
      </c>
      <c r="E2" t="s">
        <v>284</v>
      </c>
    </row>
    <row r="3" spans="1:5" x14ac:dyDescent="0.25">
      <c r="A3" t="s">
        <v>43</v>
      </c>
      <c r="B3" t="s">
        <v>281</v>
      </c>
      <c r="C3" t="s">
        <v>282</v>
      </c>
      <c r="D3" t="s">
        <v>283</v>
      </c>
      <c r="E3" t="s">
        <v>285</v>
      </c>
    </row>
    <row r="4" spans="1:5" x14ac:dyDescent="0.25">
      <c r="A4" t="s">
        <v>26</v>
      </c>
      <c r="B4" t="s">
        <v>281</v>
      </c>
      <c r="C4" t="s">
        <v>282</v>
      </c>
      <c r="D4" t="s">
        <v>286</v>
      </c>
      <c r="E4" t="s">
        <v>287</v>
      </c>
    </row>
    <row r="5" spans="1:5" x14ac:dyDescent="0.25">
      <c r="A5" t="s">
        <v>41</v>
      </c>
      <c r="B5" t="s">
        <v>281</v>
      </c>
      <c r="C5" t="s">
        <v>282</v>
      </c>
      <c r="D5" t="s">
        <v>288</v>
      </c>
      <c r="E5" t="s">
        <v>289</v>
      </c>
    </row>
    <row r="6" spans="1:5" x14ac:dyDescent="0.25">
      <c r="A6" t="s">
        <v>37</v>
      </c>
      <c r="B6" t="s">
        <v>281</v>
      </c>
      <c r="C6" t="s">
        <v>282</v>
      </c>
      <c r="D6" t="s">
        <v>288</v>
      </c>
      <c r="E6" t="s">
        <v>290</v>
      </c>
    </row>
    <row r="7" spans="1:5" x14ac:dyDescent="0.25">
      <c r="A7" t="s">
        <v>32</v>
      </c>
      <c r="B7" t="s">
        <v>281</v>
      </c>
      <c r="C7" t="s">
        <v>282</v>
      </c>
      <c r="D7" t="s">
        <v>288</v>
      </c>
      <c r="E7" t="s">
        <v>291</v>
      </c>
    </row>
    <row r="8" spans="1:5" x14ac:dyDescent="0.25">
      <c r="A8" t="s">
        <v>39</v>
      </c>
      <c r="B8" t="s">
        <v>281</v>
      </c>
      <c r="C8" t="s">
        <v>282</v>
      </c>
      <c r="D8" t="s">
        <v>288</v>
      </c>
      <c r="E8" t="s">
        <v>292</v>
      </c>
    </row>
    <row r="9" spans="1:5" x14ac:dyDescent="0.25">
      <c r="A9" t="s">
        <v>49</v>
      </c>
      <c r="B9" t="s">
        <v>281</v>
      </c>
      <c r="C9" t="s">
        <v>282</v>
      </c>
      <c r="D9" t="s">
        <v>283</v>
      </c>
      <c r="E9" t="s">
        <v>293</v>
      </c>
    </row>
    <row r="10" spans="1:5" x14ac:dyDescent="0.25">
      <c r="A10" t="s">
        <v>47</v>
      </c>
      <c r="B10" t="s">
        <v>281</v>
      </c>
      <c r="C10" t="s">
        <v>282</v>
      </c>
      <c r="D10" t="s">
        <v>288</v>
      </c>
      <c r="E10" t="s">
        <v>294</v>
      </c>
    </row>
    <row r="12" spans="1:5" x14ac:dyDescent="0.25">
      <c r="A12" t="s">
        <v>295</v>
      </c>
    </row>
    <row r="13" spans="1:5" x14ac:dyDescent="0.25">
      <c r="A13" t="s">
        <v>296</v>
      </c>
      <c r="B13" t="s">
        <v>297</v>
      </c>
    </row>
    <row r="14" spans="1:5" x14ac:dyDescent="0.25">
      <c r="A14" t="s">
        <v>298</v>
      </c>
      <c r="B14" t="s">
        <v>299</v>
      </c>
    </row>
    <row r="15" spans="1:5" x14ac:dyDescent="0.25">
      <c r="A15" t="s">
        <v>300</v>
      </c>
      <c r="B15" t="s">
        <v>301</v>
      </c>
    </row>
    <row r="16" spans="1:5" x14ac:dyDescent="0.25">
      <c r="A16" t="s">
        <v>302</v>
      </c>
      <c r="C16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Istruzioni</vt:lpstr>
      <vt:lpstr>Table 1</vt:lpstr>
      <vt:lpstr>Punteggi</vt:lpstr>
      <vt:lpstr>Interpretazione</vt:lpstr>
      <vt:lpstr>Verifica qualità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Trasatti</cp:lastModifiedBy>
  <cp:revision>0</cp:revision>
  <dcterms:created xsi:type="dcterms:W3CDTF">2026-09-20T14:59:33Z</dcterms:created>
  <dcterms:modified xsi:type="dcterms:W3CDTF">2026-09-24T14:27:06Z</dcterms:modified>
  <dc:language>en-US</dc:language>
</cp:coreProperties>
</file>