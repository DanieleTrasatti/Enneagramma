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192.168.1.2\personale_ok_sync_drive_nas\_DANIELE\PSICOLOGIA\ENNEAGRAMMA\QUESTIONARIO GOOGLE + GITHUB\QUESTIONARIO\"/>
    </mc:Choice>
  </mc:AlternateContent>
  <xr:revisionPtr revIDLastSave="0" documentId="13_ncr:1_{12B0CF4F-FAC2-4ADB-BA59-BC2CAE711117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Table 1" sheetId="1" r:id="rId1"/>
    <sheet name="Punteggi" sheetId="2" r:id="rId2"/>
  </sheets>
  <definedNames>
    <definedName name="_xlnm._FilterDatabase" localSheetId="0" hidden="1">'Table 1'!$A$1:$AT$1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2" l="1"/>
  <c r="I9" i="2"/>
  <c r="H9" i="2"/>
  <c r="G9" i="2"/>
  <c r="F9" i="2"/>
  <c r="E9" i="2"/>
  <c r="D9" i="2"/>
  <c r="C9" i="2"/>
  <c r="B9" i="2"/>
  <c r="J8" i="2"/>
  <c r="I8" i="2"/>
  <c r="H8" i="2"/>
  <c r="G8" i="2"/>
  <c r="F8" i="2"/>
  <c r="E8" i="2"/>
  <c r="D8" i="2"/>
  <c r="C8" i="2"/>
  <c r="B8" i="2"/>
  <c r="J7" i="2"/>
  <c r="I7" i="2"/>
  <c r="H7" i="2"/>
  <c r="G7" i="2"/>
  <c r="F7" i="2"/>
  <c r="E7" i="2"/>
  <c r="D7" i="2"/>
  <c r="C7" i="2"/>
  <c r="B7" i="2"/>
  <c r="J6" i="2"/>
  <c r="I6" i="2"/>
  <c r="H6" i="2"/>
  <c r="G6" i="2"/>
  <c r="F6" i="2"/>
  <c r="E6" i="2"/>
  <c r="D6" i="2"/>
  <c r="C6" i="2"/>
  <c r="B6" i="2"/>
  <c r="J5" i="2"/>
  <c r="I5" i="2"/>
  <c r="H5" i="2"/>
  <c r="G5" i="2"/>
  <c r="F5" i="2"/>
  <c r="E5" i="2"/>
  <c r="D5" i="2"/>
  <c r="C5" i="2"/>
  <c r="B5" i="2"/>
  <c r="J4" i="2"/>
  <c r="I4" i="2"/>
  <c r="H4" i="2"/>
  <c r="G4" i="2"/>
  <c r="F4" i="2"/>
  <c r="E4" i="2"/>
  <c r="D4" i="2"/>
  <c r="C4" i="2"/>
  <c r="B4" i="2"/>
  <c r="J3" i="2"/>
  <c r="I3" i="2"/>
  <c r="H3" i="2"/>
  <c r="G3" i="2"/>
  <c r="F3" i="2"/>
  <c r="E3" i="2"/>
  <c r="D3" i="2"/>
  <c r="C3" i="2"/>
  <c r="B3" i="2"/>
  <c r="J2" i="2"/>
  <c r="I2" i="2"/>
  <c r="H2" i="2"/>
  <c r="G2" i="2"/>
  <c r="F2" i="2"/>
  <c r="E2" i="2"/>
  <c r="D2" i="2"/>
  <c r="C2" i="2"/>
  <c r="B2" i="2"/>
  <c r="K2" i="2" s="1"/>
  <c r="L2" i="2" s="1"/>
  <c r="K5" i="2" l="1"/>
  <c r="L5" i="2" s="1"/>
  <c r="K9" i="2"/>
  <c r="L9" i="2" s="1"/>
  <c r="K8" i="2"/>
  <c r="L8" i="2" s="1"/>
  <c r="K7" i="2"/>
  <c r="L7" i="2" s="1"/>
  <c r="K3" i="2"/>
  <c r="L3" i="2" s="1"/>
  <c r="K6" i="2"/>
  <c r="L6" i="2" s="1"/>
  <c r="K4" i="2"/>
  <c r="L4" i="2" s="1"/>
</calcChain>
</file>

<file path=xl/sharedStrings.xml><?xml version="1.0" encoding="utf-8"?>
<sst xmlns="http://schemas.openxmlformats.org/spreadsheetml/2006/main" count="673" uniqueCount="199">
  <si>
    <t>ESITO NUMERO</t>
  </si>
  <si>
    <t>ESITO TESTO</t>
  </si>
  <si>
    <t>DOMANDA</t>
  </si>
  <si>
    <t>RISPOSTA</t>
  </si>
  <si>
    <t>INDICATORE</t>
  </si>
  <si>
    <t>Tipo 4 – Il Romantico</t>
  </si>
  <si>
    <t>Sento che qualcosa in me non è mai del tutto a posto.</t>
  </si>
  <si>
    <t>tono emotivo di fondo</t>
  </si>
  <si>
    <t>Tipo 5 – L'Osservatore</t>
  </si>
  <si>
    <t>Mi risulta difficile condividere pensieri ed emozioni prima di averli elaborati da solo.</t>
  </si>
  <si>
    <t>regolazione della vicinanza emotiva</t>
  </si>
  <si>
    <t>Tipo 6 – Lo Scettico Leale</t>
  </si>
  <si>
    <t>Sotto forte pressione, divento più agitato e competitivo del solito.</t>
  </si>
  <si>
    <t>risposta a stress e sicurezza</t>
  </si>
  <si>
    <t>Tipo 3 – L'Esecutore</t>
  </si>
  <si>
    <t>Provo disagio quando qualcosa che ho fatto non viene notato da nessuno.</t>
  </si>
  <si>
    <t>Tipo 9 – Il Mediatore</t>
  </si>
  <si>
    <t>Mi sento bene quando intorno a me regna un clima di tranquillità.</t>
  </si>
  <si>
    <t>motivazione centrale</t>
  </si>
  <si>
    <t>Reagisco spesso ritirandomi in silenzio invece di esprimere subito ciò che provo.</t>
  </si>
  <si>
    <t>reattività istintiva</t>
  </si>
  <si>
    <t>Tipo 8 – Il Capo</t>
  </si>
  <si>
    <t>Sento tensione crescere in fretta quando qualcuno mette in dubbio la mia autorità.</t>
  </si>
  <si>
    <t>Tipo 1 – Il Perfezionista</t>
  </si>
  <si>
    <t>Organizzo il mio lavoro seguendo regole che mi sono dato io stesso.</t>
  </si>
  <si>
    <t>stile di azione e scelta</t>
  </si>
  <si>
    <t>Prendo decisioni rapide e preferisco assumermene subito la responsabilità.</t>
  </si>
  <si>
    <t>Il mio primo impulso davanti a un'emozione forte è lasciarmi assorbire completamente da essa.</t>
  </si>
  <si>
    <t>Tipo 2 – L'Altruista</t>
  </si>
  <si>
    <t>Il mio primo impulso davanti a una persona in difficoltà è avvicinarmi subito.</t>
  </si>
  <si>
    <t>Sotto forte pressione, mi chiudo e riduco al minimo il contatto con gli altri.</t>
  </si>
  <si>
    <t>Tendo a rimandare un confronto scomodo finché posso.</t>
  </si>
  <si>
    <t>meccanismo di evitamento</t>
  </si>
  <si>
    <t>Mi sento bene con me stesso quando so di essere stato utile a qualcuno.</t>
  </si>
  <si>
    <t>Provo un'ansia di fondo anche quando le cose sembrano andare bene.</t>
  </si>
  <si>
    <t>Tipo 7 – L'Ottimista</t>
  </si>
  <si>
    <t>Il mio primo impulso davanti a una difficoltà è cercare subito un lato positivo.</t>
  </si>
  <si>
    <t>Mi sento a posto con me stesso quando so di aver fatto la cosa giusta.</t>
  </si>
  <si>
    <t>Mi risulta difficile lasciarmi andare del tutto anche in un rapporto intimo.</t>
  </si>
  <si>
    <t>Nei rapporti stretti, fatico a mostrare i momenti in cui mi sento fragile.</t>
  </si>
  <si>
    <t>Sotto forte pressione, divento più rigido e critico verso me stesso e gli altri.</t>
  </si>
  <si>
    <t>Temo che il mio valore dipenda soltanto da quanto riesco a ottenere.</t>
  </si>
  <si>
    <t>paura centrale</t>
  </si>
  <si>
    <t>Mi sento sicuro quando ho acquisito abbastanza conoscenza su un argomento.</t>
  </si>
  <si>
    <t>La mia attenzione va naturalmente verso eventuali segnali di debolezza o ingiustizia.</t>
  </si>
  <si>
    <t>filtro attentivo</t>
  </si>
  <si>
    <t>Noto subito i segnali che potrebbero indicare un problema in arrivo.</t>
  </si>
  <si>
    <t>Temo che un mio errore dimostri che in fondo non vado bene così come sono.</t>
  </si>
  <si>
    <t>Cerco di capire di cosa hanno bisogno le persone prima ancora che me lo dicano.</t>
  </si>
  <si>
    <t>Noto subito quanta energia mentale mi richiederà una situazione prima ancora di viverla.</t>
  </si>
  <si>
    <t>Quando mi sento sicuro, riesco a concentrarmi a fondo su una sola cosa per volta.</t>
  </si>
  <si>
    <t>Reagisco con intensità quando percepisco di essere stato frainteso.</t>
  </si>
  <si>
    <t>Sotto forte pressione, divento più ansioso e inizio a dubitare delle persone intorno a me.</t>
  </si>
  <si>
    <t>Reagisco rallentando, anche quando la situazione richiederebbe una risposta rapida.</t>
  </si>
  <si>
    <t>Nei rapporti stretti, fatico a lasciarmi proteggere o accudire da qualcun altro.</t>
  </si>
  <si>
    <t>Mi spaventa l'idea di dover rinunciare per sempre a delle possibilità.</t>
  </si>
  <si>
    <t>Mi disturba profondamente sapere che qualcosa non è stato fatto come si deve.</t>
  </si>
  <si>
    <t>Verifico più volte le informazioni prima di sentirmi pronto ad agire.</t>
  </si>
  <si>
    <t>Cerco costantemente qualcosa che dia un senso profondo e personale alla mia vita.</t>
  </si>
  <si>
    <t>Sotto forte pressione, divento più insistente nel voler essere riconosciuto per ciò che faccio.</t>
  </si>
  <si>
    <t>Mi spaventa l'idea di essere invaso da richieste che non riesco a gestire.</t>
  </si>
  <si>
    <t>Sotto forte pressione, divento più cupo e mi isolo nei miei pensieri.</t>
  </si>
  <si>
    <t>Cerco di proteggere le persone di cui mi sento responsabile.</t>
  </si>
  <si>
    <t>Preferisco mantenere un'immagine efficiente anche con le persone a cui tengo di più.</t>
  </si>
  <si>
    <t>Sento un vuoto interiore se un progetto importante non va a buon fine.</t>
  </si>
  <si>
    <t>Tendo ad allontanarmi da ciò che è già disponibile, per desiderare ciò che manca.</t>
  </si>
  <si>
    <t>Sento inquietudine quando una situazione mi appare incerta o poco chiara.</t>
  </si>
  <si>
    <t>Reagisco con energia immediata di fronte a una sfida o una competizione.</t>
  </si>
  <si>
    <t>Mi lascio guidare dall'intensità di un'emozione quando devo decidere qualcosa di importante.</t>
  </si>
  <si>
    <t>Temo di ritrovarmi senza un sostegno su cui contare nei momenti difficili.</t>
  </si>
  <si>
    <t>Il mio primo impulso davanti a una provocazione è rispondere con fermezza immediata.</t>
  </si>
  <si>
    <t>Scelgo seguendo soprattutto ciò che sento in quel momento, più che un piano razionale.</t>
  </si>
  <si>
    <t>Anche con le persone più vicine, fatico ad abbassare i miei standard.</t>
  </si>
  <si>
    <t>Preferisco osservare a lungo una situazione prima di intervenire attivamente.</t>
  </si>
  <si>
    <t>Quando mi sento sicuro, riesco a essere più disciplinato e concreto del solito.</t>
  </si>
  <si>
    <t>Noto subito chi in una situazione detiene davvero il potere.</t>
  </si>
  <si>
    <t>Sento un peso interiore se qualcuno mi definisce una persona egoista.</t>
  </si>
  <si>
    <t>Provo disagio quando devo agire senza aver avuto il tempo di capire bene la situazione.</t>
  </si>
  <si>
    <t>Quando mi sento sicuro, riesco a rilassarmi e a fidarmi con più facilità.</t>
  </si>
  <si>
    <t>Reagisco con tensione fisica immediata di fronte a un errore evidente.</t>
  </si>
  <si>
    <t>Decido più facilmente quando l'alternativa mi sembra stimolante e nuova.</t>
  </si>
  <si>
    <t>Cerco di mantenere l'armonia anche quando questo significa mettere da parte me stesso.</t>
  </si>
  <si>
    <t>Quando mi sento sicuro, riesco a mostrare un lato più tenero di me.</t>
  </si>
  <si>
    <t>Mi sento realizzato quando riesco a raggiungere un obiettivo concreto.</t>
  </si>
  <si>
    <t>Provo un disagio profondo quando mi sento diverso dagli altri in modo negativo.</t>
  </si>
  <si>
    <t>Cerco punti di riferimento chiari per orientarmi nelle situazioni nuove.</t>
  </si>
  <si>
    <t>Preferisco mettere da parte ciò che desidero pur di non deludere nessuno.</t>
  </si>
  <si>
    <t>Il mio primo impulso davanti a una situazione incerta è immaginare cosa potrebbe andare male.</t>
  </si>
  <si>
    <t>Temo di non avere risorse sufficienti per affrontare ciò che mi viene chiesto.</t>
  </si>
  <si>
    <t>Quando mi sento sicuro, riesco a condividere con più facilità ciò che provo davvero.</t>
  </si>
  <si>
    <t>Tendo a nascondere la mia vulnerabilità dietro un atteggiamento sicuro di me.</t>
  </si>
  <si>
    <t>Noto quasi subito ciò che in una situazione non è ancora perfetto.</t>
  </si>
  <si>
    <t>La mia attenzione va naturalmente verso ciò che potrebbe andare storto in una situazione.</t>
  </si>
  <si>
    <t>La mia attenzione va naturalmente verso ciò che potrebbe disturbare la calma del momento.</t>
  </si>
  <si>
    <t>La mia attenzione va naturalmente verso ciò che posso ancora ottimizzare per riuscire meglio.</t>
  </si>
  <si>
    <t>Preferisco adattarmi ai desideri dell'altro piuttosto che affermare chiaramente i miei.</t>
  </si>
  <si>
    <t>Provo una rabbia immediata quando percepisco un'ingiustizia davanti a me.</t>
  </si>
  <si>
    <t>Prima di scegliere, cerco il parere di qualcuno che considero competente.</t>
  </si>
  <si>
    <t>Tendo a riempire le mie giornate di attività per non lasciare spazio al disagio.</t>
  </si>
  <si>
    <t>Temo che affermare con forza ciò che voglio possa creare una rottura difficile da riparare.</t>
  </si>
  <si>
    <t>Nei rapporti stretti, ho comunque bisogno di uno spazio tutto mio per ricaricarmi.</t>
  </si>
  <si>
    <t>Reagisco quasi automaticamente offrendo il mio aiuto, anche prima di pensarci.</t>
  </si>
  <si>
    <t>Sento inquietudine all'idea di dover affrontare un dolore senza potermene distrarre.</t>
  </si>
  <si>
    <t>Mi spaventa l'idea di non essere più importante per qualcuno a cui tengo.</t>
  </si>
  <si>
    <t>Reagisco spostando velocemente l'attenzione su qualcosa di diverso quando una situazione pesa troppo.</t>
  </si>
  <si>
    <t>Preferisco correggere in silenzio piuttosto che esprimere un disaccordo diretto.</t>
  </si>
  <si>
    <t>Prima di decidere, raccolgo più informazioni di quante siano strettamente necessarie.</t>
  </si>
  <si>
    <t>Nei rapporti stretti, fatico ad ammettere quando sono io ad aver bisogno di qualcosa.</t>
  </si>
  <si>
    <t>Temo di trovarmi in una posizione in cui qualcun altro decide per me.</t>
  </si>
  <si>
    <t>Nei rapporti stretti, fatico a restare quando l'intimità inizia a sembrarmi limitante.</t>
  </si>
  <si>
    <t>Organizzo le mie giornate intorno a obiettivi misurabili e concreti.</t>
  </si>
  <si>
    <t>Temo che, se smettessi di aiutare, le persone mi vorrebbero meno bene.</t>
  </si>
  <si>
    <t>Cerco esperienze nuove che mi tengano energico e curioso.</t>
  </si>
  <si>
    <t>Tendo a ritirarmi in me stesso quando le richieste esterne diventano troppe.</t>
  </si>
  <si>
    <t>Evito di soffermarmi su un'emozione dolorosa, preferisco pensare a qualcosa di più leggero.</t>
  </si>
  <si>
    <t>Il mio primo impulso davanti a una tensione è distogliere l'attenzione verso altro.</t>
  </si>
  <si>
    <t>La mia attenzione va naturalmente verso ciò che potrebbe rendere le cose più interessanti.</t>
  </si>
  <si>
    <t>Preferisco alleggerire con l'ironia i momenti emotivamente più intensi con chi amo.</t>
  </si>
  <si>
    <t>Tendo a rimandare le decisioni più rischiose finché non mi sento più sicuro.</t>
  </si>
  <si>
    <t>Noto subito le opportunità nascoste in una situazione, anche difficile.</t>
  </si>
  <si>
    <t>Temo di restare bloccato in una situazione dolorosa senza via d'uscita.</t>
  </si>
  <si>
    <t>Evito di fidarmi completamente finché non ho raccolto prove sufficienti.</t>
  </si>
  <si>
    <t>Mi muovo per primo verso chi vedo in difficoltà, anche senza che me lo chieda.</t>
  </si>
  <si>
    <t>Il mio primo impulso davanti a un'emozione forte è prendere distanza per osservarla.</t>
  </si>
  <si>
    <t>Scelgo spesso mantenendo aperte più opzioni possibili, anche a costo di rimandare.</t>
  </si>
  <si>
    <t>Mi accorgo di essere arrabbiato solo molto tempo dopo che è successo qualcosa.</t>
  </si>
  <si>
    <t>Mi sento tranquillo quando so di poter contare su qualcuno o qualcosa di affidabile.</t>
  </si>
  <si>
    <t>Provo un disagio profondo quando penso di non essere abbastanza per qualcuno.</t>
  </si>
  <si>
    <t>Cerco di capire a fondo le cose prima di sentirmi pronto ad agire.</t>
  </si>
  <si>
    <t>Scelgo quasi sempre l'opzione che mi permette di ottenere un risultato più velocemente.</t>
  </si>
  <si>
    <t>Sento ansia all'idea di essere colto impreparato davanti a qualcuno.</t>
  </si>
  <si>
    <t>Evito di espormi troppo finché non mi sento del tutto preparato.</t>
  </si>
  <si>
    <t>Nei rapporti stretti, ho bisogno di sentire che l'altro non mi lascerà all'improvviso.</t>
  </si>
  <si>
    <t>Cerco costantemente conferme che il mio impegno stia portando a un risultato.</t>
  </si>
  <si>
    <t>Quando mi sento sicuro, riesco a essere più attivo e orientato verso i miei obiettivi.</t>
  </si>
  <si>
    <t>Prima di agire, controllo che tutto rispetti un criterio preciso.</t>
  </si>
  <si>
    <t>Mi sento bene quando ho il controllo della situazione in cui mi trovo.</t>
  </si>
  <si>
    <t>Quando mi sento sicuro, riesco a essere più leggero e spontaneo del solito.</t>
  </si>
  <si>
    <t>Sotto forte pressione, cerco più attenzione e rassicurazione dalle persone vicine.</t>
  </si>
  <si>
    <t>Noto subito ciò che manca in una situazione, più di ciò che c'è già.</t>
  </si>
  <si>
    <t>Mi spaventa dover prendere una decisione importante senza nessuna guida esterna.</t>
  </si>
  <si>
    <t>Il mio primo pensiero davanti a un lavoro finito è cosa si potrebbe correggere.</t>
  </si>
  <si>
    <t>Reagisco con sospetto quando qualcosa mi sembra troppo facile o troppo bello.</t>
  </si>
  <si>
    <t>Quando mi sento sicuro, riesco a chiedere aiuto senza sentirmi in colpa.</t>
  </si>
  <si>
    <t>La mia attenzione va naturalmente verso i dettagli tecnici più che verso le emozioni presenti.</t>
  </si>
  <si>
    <t>Evito di soffermarmi troppo su un insuccesso, preferisco passare subito al prossimo obiettivo.</t>
  </si>
  <si>
    <t>Evito di mostrare i momenti in cui mi sento incerto o spaventato.</t>
  </si>
  <si>
    <t>Tendo a minimizzare le difficoltà personali pur di mantenere il ritmo di lavoro.</t>
  </si>
  <si>
    <t>Il mio corpo si irrigidisce quando qualcosa va contro le regole.</t>
  </si>
  <si>
    <t>Il mio primo impulso davanti a un compito è iniziare subito, senza indugiare.</t>
  </si>
  <si>
    <t>Noto subito il punto di vista di ognuno prima ancora del mio.</t>
  </si>
  <si>
    <t>Decido più facilmente quando la scelta non mette nessuno in difficoltà.</t>
  </si>
  <si>
    <t>Sotto forte pressione, riduco al minimo i contatti per conservare le mie energie.</t>
  </si>
  <si>
    <t>Mi spaventa l'idea di un conflitto che potrebbe allontanarmi da qualcuno a cui tengo.</t>
  </si>
  <si>
    <t>Mi spaventa l'idea di essere considerato un fallito davanti agli altri.</t>
  </si>
  <si>
    <t>Agisco d'istinto quando percepisco che nessun altro sta prendendo l'iniziativa.</t>
  </si>
  <si>
    <t>Quando mi sento sicuro, riesco a espormi ed essere più diretto del solito.</t>
  </si>
  <si>
    <t>Evito di esprimere un disaccordo diretto pur di non creare tensione.</t>
  </si>
  <si>
    <t>Noto subito quanto tempo mi resta prima di una scadenza importante.</t>
  </si>
  <si>
    <t>Cerco costantemente di migliorare ciò che faccio, anche quando nessuno me lo chiede.</t>
  </si>
  <si>
    <t>Mi allontano proprio quando una relazione inizia a diventare stabile e prevedibile.</t>
  </si>
  <si>
    <t>Provo disagio quando un impegno mi chiude troppe altre strade.</t>
  </si>
  <si>
    <t>Temo di non avere nulla di davvero unico da offrire agli altri.</t>
  </si>
  <si>
    <t>Alterno momenti di grande vicinanza a momenti in cui dubito della relazione.</t>
  </si>
  <si>
    <t>Prima di prendere posizione, cerco di capire come la pensano tutti gli altri coinvolti.</t>
  </si>
  <si>
    <t>Sotto forte pressione, mi ritrovo a rimandare le cose invece di affrontarle.</t>
  </si>
  <si>
    <t>Mi risulta difficile mostrare apertamente quanto tengo a una persona.</t>
  </si>
  <si>
    <t>Nei rapporti stretti, fatico a esprimere un bisogno quando temo possa creare attrito.</t>
  </si>
  <si>
    <t>Mi infastidisce profondamente sentirmi vulnerabile davanti a qualcuno.</t>
  </si>
  <si>
    <t>La mia attenzione va naturalmente verso le sfumature emotive più intense di un momento.</t>
  </si>
  <si>
    <t>Mi sento più me stesso quando esprimo ciò che provo in modo autentico.</t>
  </si>
  <si>
    <t>La mia attenzione va spontaneamente verso i sentimenti delle persone vicine.</t>
  </si>
  <si>
    <t>Trattengo l'irritazione anche quando avrei tutte le ragioni per mostrarla apertamente.</t>
  </si>
  <si>
    <t>Evito di lasciar trapelare la rabbia perché la considero fuori luogo.</t>
  </si>
  <si>
    <t>Mi sento bene quando ho davanti a me diverse possibilità tra cui scegliere.</t>
  </si>
  <si>
    <t>Provo un fastidio sordo quando qualcuno decide al posto mio senza chiedermelo.</t>
  </si>
  <si>
    <t>Noto immediatamente quando qualcuno intorno a me ha bisogno di qualcosa.</t>
  </si>
  <si>
    <t>Reagisco fisicamente con intensità quando mi sento messo alle strette.</t>
  </si>
  <si>
    <t>Evito di esprimere apertamente i miei bisogni per non sembrare pesante.</t>
  </si>
  <si>
    <t>Mi sento più a mio agio quando sono io a prendermi cura dell'altro piuttosto che il contrario.</t>
  </si>
  <si>
    <t>Mi spaventa l'idea che la mia vita possa risultare piatta o ordinaria.</t>
  </si>
  <si>
    <t>Evito le situazioni che percepisco come banali o prive di significato.</t>
  </si>
  <si>
    <t>Nei rapporti stretti, desidero una fusione profonda ma temo allo stesso tempo di perdermi.</t>
  </si>
  <si>
    <t>Provo un fastidio interno quando vedo qualcosa fatto con superficialità.</t>
  </si>
  <si>
    <t>Decido spesso le mie priorità in base a chi ha più bisogno di me in quel momento.</t>
  </si>
  <si>
    <t>Tipo</t>
  </si>
  <si>
    <t>Motivazione centrale</t>
  </si>
  <si>
    <t>Paura centrale</t>
  </si>
  <si>
    <t>Filtro attentivo</t>
  </si>
  <si>
    <t>Tono emotivo di fondo</t>
  </si>
  <si>
    <t>Meccanismo di evitamento</t>
  </si>
  <si>
    <t>Stile di azione e scelta</t>
  </si>
  <si>
    <t>Reattività istintiva</t>
  </si>
  <si>
    <t>Risposta a stress e sicurezza</t>
  </si>
  <si>
    <t>Regolazione della vicinanza emotiva</t>
  </si>
  <si>
    <t>Totale</t>
  </si>
  <si>
    <t>%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</si>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</sst>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1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C0C0C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/>
    <xf numFmtId="0" fontId="2" fillId="0" borderId="1" xfId="0" applyFont="1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9" fontId="2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3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73"/>
  <sheetViews>
    <sheetView tabSelected="1" zoomScaleNormal="100" workbookViewId="0">
      <pane ySplit="1" topLeftCell="A2" activePane="bottomLeft" state="frozen"/>
      <selection pane="bottomLeft" activeCell="E3" sqref="E3"/>
    </sheetView>
  </sheetViews>
  <sheetFormatPr defaultColWidth="8.7109375" defaultRowHeight="15" x14ac:dyDescent="0.25"/>
  <cols>
    <col min="1" max="1" width="12" style="4" customWidth="1"/>
    <col min="2" max="2" width="26" style="4" customWidth="1"/>
    <col min="3" max="3" width="70" style="4" customWidth="1"/>
    <col min="4" max="4" width="16.140625" style="15" customWidth="1"/>
    <col min="5" max="5" width="49.140625" style="6" customWidth="1"/>
    <col min="47" max="16384" width="8.7109375" style="4"/>
  </cols>
  <sheetData>
    <row r="1" spans="1:5" x14ac:dyDescent="0.25">
      <c r="A1" s="12" t="s">
        <v>0</v>
      </c>
      <c r="B1" s="12" t="s">
        <v>1</v>
      </c>
      <c r="C1" s="12" t="s">
        <v>2</v>
      </c>
      <c r="D1" s="12" t="s">
        <v>3</v>
      </c>
      <c r="E1" s="3" t="s">
        <v>4</v>
      </c>
    </row>
    <row r="2" spans="1:5" x14ac:dyDescent="0.25">
      <c r="A2" s="5">
        <v>4</v>
      </c>
      <c r="B2" s="5" t="s">
        <v>5</v>
      </c>
      <c r="C2" s="5" t="s">
        <v>6</v>
      </c>
      <c r="D2" s="13" t="s">
        <v>198</v>
      </c>
      <c r="E2" s="5" t="s">
        <v>7</v>
      </c>
    </row>
    <row r="3" spans="1:5" ht="28.5" x14ac:dyDescent="0.25">
      <c r="A3" s="5">
        <v>5</v>
      </c>
      <c r="B3" s="5" t="s">
        <v>8</v>
      </c>
      <c r="C3" s="5" t="s">
        <v>9</v>
      </c>
      <c r="D3" s="13" t="s">
        <v>198</v>
      </c>
      <c r="E3" s="5" t="s">
        <v>10</v>
      </c>
    </row>
    <row r="4" spans="1:5" x14ac:dyDescent="0.25">
      <c r="A4" s="5">
        <v>6</v>
      </c>
      <c r="B4" s="5" t="s">
        <v>11</v>
      </c>
      <c r="C4" s="5" t="s">
        <v>12</v>
      </c>
      <c r="D4" s="13" t="s">
        <v>198</v>
      </c>
      <c r="E4" s="5" t="s">
        <v>13</v>
      </c>
    </row>
    <row r="5" spans="1:5" ht="28.5" x14ac:dyDescent="0.25">
      <c r="A5" s="5">
        <v>3</v>
      </c>
      <c r="B5" s="5" t="s">
        <v>14</v>
      </c>
      <c r="C5" s="5" t="s">
        <v>15</v>
      </c>
      <c r="D5" s="13" t="s">
        <v>198</v>
      </c>
      <c r="E5" s="5" t="s">
        <v>7</v>
      </c>
    </row>
    <row r="6" spans="1:5" x14ac:dyDescent="0.25">
      <c r="A6" s="5">
        <v>9</v>
      </c>
      <c r="B6" s="5" t="s">
        <v>16</v>
      </c>
      <c r="C6" s="5" t="s">
        <v>17</v>
      </c>
      <c r="D6" s="13" t="s">
        <v>198</v>
      </c>
      <c r="E6" s="5" t="s">
        <v>18</v>
      </c>
    </row>
    <row r="7" spans="1:5" ht="28.5" x14ac:dyDescent="0.25">
      <c r="A7" s="5">
        <v>5</v>
      </c>
      <c r="B7" s="5" t="s">
        <v>8</v>
      </c>
      <c r="C7" s="5" t="s">
        <v>19</v>
      </c>
      <c r="D7" s="13" t="s">
        <v>198</v>
      </c>
      <c r="E7" s="5" t="s">
        <v>20</v>
      </c>
    </row>
    <row r="8" spans="1:5" ht="28.5" x14ac:dyDescent="0.25">
      <c r="A8" s="5">
        <v>8</v>
      </c>
      <c r="B8" s="5" t="s">
        <v>21</v>
      </c>
      <c r="C8" s="5" t="s">
        <v>22</v>
      </c>
      <c r="D8" s="13" t="s">
        <v>198</v>
      </c>
      <c r="E8" s="5" t="s">
        <v>7</v>
      </c>
    </row>
    <row r="9" spans="1:5" x14ac:dyDescent="0.25">
      <c r="A9" s="5">
        <v>1</v>
      </c>
      <c r="B9" s="5" t="s">
        <v>23</v>
      </c>
      <c r="C9" s="5" t="s">
        <v>24</v>
      </c>
      <c r="D9" s="13" t="s">
        <v>198</v>
      </c>
      <c r="E9" s="5" t="s">
        <v>25</v>
      </c>
    </row>
    <row r="10" spans="1:5" ht="28.5" x14ac:dyDescent="0.25">
      <c r="A10" s="5">
        <v>8</v>
      </c>
      <c r="B10" s="5" t="s">
        <v>21</v>
      </c>
      <c r="C10" s="5" t="s">
        <v>26</v>
      </c>
      <c r="D10" s="13" t="s">
        <v>198</v>
      </c>
      <c r="E10" s="5" t="s">
        <v>25</v>
      </c>
    </row>
    <row r="11" spans="1:5" ht="28.5" x14ac:dyDescent="0.25">
      <c r="A11" s="5">
        <v>4</v>
      </c>
      <c r="B11" s="5" t="s">
        <v>5</v>
      </c>
      <c r="C11" s="5" t="s">
        <v>27</v>
      </c>
      <c r="D11" s="13" t="s">
        <v>198</v>
      </c>
      <c r="E11" s="5" t="s">
        <v>20</v>
      </c>
    </row>
    <row r="12" spans="1:5" ht="28.5" x14ac:dyDescent="0.25">
      <c r="A12" s="5">
        <v>2</v>
      </c>
      <c r="B12" s="5" t="s">
        <v>28</v>
      </c>
      <c r="C12" s="5" t="s">
        <v>29</v>
      </c>
      <c r="D12" s="13" t="s">
        <v>198</v>
      </c>
      <c r="E12" s="5" t="s">
        <v>20</v>
      </c>
    </row>
    <row r="13" spans="1:5" ht="28.5" x14ac:dyDescent="0.25">
      <c r="A13" s="5">
        <v>8</v>
      </c>
      <c r="B13" s="5" t="s">
        <v>21</v>
      </c>
      <c r="C13" s="5" t="s">
        <v>30</v>
      </c>
      <c r="D13" s="13" t="s">
        <v>198</v>
      </c>
      <c r="E13" s="5" t="s">
        <v>13</v>
      </c>
    </row>
    <row r="14" spans="1:5" x14ac:dyDescent="0.25">
      <c r="A14" s="5">
        <v>9</v>
      </c>
      <c r="B14" s="5" t="s">
        <v>16</v>
      </c>
      <c r="C14" s="5" t="s">
        <v>31</v>
      </c>
      <c r="D14" s="13" t="s">
        <v>198</v>
      </c>
      <c r="E14" s="5" t="s">
        <v>32</v>
      </c>
    </row>
    <row r="15" spans="1:5" ht="28.5" x14ac:dyDescent="0.25">
      <c r="A15" s="5">
        <v>2</v>
      </c>
      <c r="B15" s="5" t="s">
        <v>28</v>
      </c>
      <c r="C15" s="5" t="s">
        <v>33</v>
      </c>
      <c r="D15" s="13" t="s">
        <v>198</v>
      </c>
      <c r="E15" s="5" t="s">
        <v>18</v>
      </c>
    </row>
    <row r="16" spans="1:5" x14ac:dyDescent="0.25">
      <c r="A16" s="5">
        <v>6</v>
      </c>
      <c r="B16" s="5" t="s">
        <v>11</v>
      </c>
      <c r="C16" s="5" t="s">
        <v>34</v>
      </c>
      <c r="D16" s="13" t="s">
        <v>198</v>
      </c>
      <c r="E16" s="5" t="s">
        <v>7</v>
      </c>
    </row>
    <row r="17" spans="1:5" ht="28.5" x14ac:dyDescent="0.25">
      <c r="A17" s="5">
        <v>7</v>
      </c>
      <c r="B17" s="5" t="s">
        <v>35</v>
      </c>
      <c r="C17" s="5" t="s">
        <v>36</v>
      </c>
      <c r="D17" s="13" t="s">
        <v>198</v>
      </c>
      <c r="E17" s="5" t="s">
        <v>20</v>
      </c>
    </row>
    <row r="18" spans="1:5" x14ac:dyDescent="0.25">
      <c r="A18" s="5">
        <v>1</v>
      </c>
      <c r="B18" s="5" t="s">
        <v>23</v>
      </c>
      <c r="C18" s="5" t="s">
        <v>37</v>
      </c>
      <c r="D18" s="13" t="s">
        <v>198</v>
      </c>
      <c r="E18" s="5" t="s">
        <v>18</v>
      </c>
    </row>
    <row r="19" spans="1:5" x14ac:dyDescent="0.25">
      <c r="A19" s="5">
        <v>1</v>
      </c>
      <c r="B19" s="5" t="s">
        <v>23</v>
      </c>
      <c r="C19" s="5" t="s">
        <v>38</v>
      </c>
      <c r="D19" s="13" t="s">
        <v>198</v>
      </c>
      <c r="E19" s="5" t="s">
        <v>10</v>
      </c>
    </row>
    <row r="20" spans="1:5" x14ac:dyDescent="0.25">
      <c r="A20" s="5">
        <v>3</v>
      </c>
      <c r="B20" s="5" t="s">
        <v>14</v>
      </c>
      <c r="C20" s="5" t="s">
        <v>39</v>
      </c>
      <c r="D20" s="13" t="s">
        <v>198</v>
      </c>
      <c r="E20" s="5" t="s">
        <v>10</v>
      </c>
    </row>
    <row r="21" spans="1:5" ht="28.5" x14ac:dyDescent="0.25">
      <c r="A21" s="5">
        <v>7</v>
      </c>
      <c r="B21" s="5" t="s">
        <v>35</v>
      </c>
      <c r="C21" s="5" t="s">
        <v>40</v>
      </c>
      <c r="D21" s="13" t="s">
        <v>198</v>
      </c>
      <c r="E21" s="5" t="s">
        <v>13</v>
      </c>
    </row>
    <row r="22" spans="1:5" x14ac:dyDescent="0.25">
      <c r="A22" s="5">
        <v>3</v>
      </c>
      <c r="B22" s="5" t="s">
        <v>14</v>
      </c>
      <c r="C22" s="5" t="s">
        <v>41</v>
      </c>
      <c r="D22" s="13" t="s">
        <v>198</v>
      </c>
      <c r="E22" s="5" t="s">
        <v>42</v>
      </c>
    </row>
    <row r="23" spans="1:5" ht="28.5" x14ac:dyDescent="0.25">
      <c r="A23" s="5">
        <v>5</v>
      </c>
      <c r="B23" s="5" t="s">
        <v>8</v>
      </c>
      <c r="C23" s="5" t="s">
        <v>43</v>
      </c>
      <c r="D23" s="13" t="s">
        <v>198</v>
      </c>
      <c r="E23" s="5" t="s">
        <v>18</v>
      </c>
    </row>
    <row r="24" spans="1:5" ht="28.5" x14ac:dyDescent="0.25">
      <c r="A24" s="5">
        <v>8</v>
      </c>
      <c r="B24" s="5" t="s">
        <v>21</v>
      </c>
      <c r="C24" s="5" t="s">
        <v>44</v>
      </c>
      <c r="D24" s="13" t="s">
        <v>198</v>
      </c>
      <c r="E24" s="5" t="s">
        <v>45</v>
      </c>
    </row>
    <row r="25" spans="1:5" x14ac:dyDescent="0.25">
      <c r="A25" s="5">
        <v>6</v>
      </c>
      <c r="B25" s="5" t="s">
        <v>11</v>
      </c>
      <c r="C25" s="5" t="s">
        <v>46</v>
      </c>
      <c r="D25" s="13" t="s">
        <v>198</v>
      </c>
      <c r="E25" s="5" t="s">
        <v>45</v>
      </c>
    </row>
    <row r="26" spans="1:5" ht="28.5" x14ac:dyDescent="0.25">
      <c r="A26" s="5">
        <v>1</v>
      </c>
      <c r="B26" s="5" t="s">
        <v>23</v>
      </c>
      <c r="C26" s="5" t="s">
        <v>47</v>
      </c>
      <c r="D26" s="13" t="s">
        <v>198</v>
      </c>
      <c r="E26" s="5" t="s">
        <v>42</v>
      </c>
    </row>
    <row r="27" spans="1:5" ht="28.5" x14ac:dyDescent="0.25">
      <c r="A27" s="5">
        <v>2</v>
      </c>
      <c r="B27" s="5" t="s">
        <v>28</v>
      </c>
      <c r="C27" s="5" t="s">
        <v>48</v>
      </c>
      <c r="D27" s="13" t="s">
        <v>198</v>
      </c>
      <c r="E27" s="5" t="s">
        <v>18</v>
      </c>
    </row>
    <row r="28" spans="1:5" ht="28.5" x14ac:dyDescent="0.25">
      <c r="A28" s="5">
        <v>5</v>
      </c>
      <c r="B28" s="5" t="s">
        <v>8</v>
      </c>
      <c r="C28" s="5" t="s">
        <v>49</v>
      </c>
      <c r="D28" s="13" t="s">
        <v>198</v>
      </c>
      <c r="E28" s="5" t="s">
        <v>45</v>
      </c>
    </row>
    <row r="29" spans="1:5" ht="28.5" x14ac:dyDescent="0.25">
      <c r="A29" s="5">
        <v>7</v>
      </c>
      <c r="B29" s="5" t="s">
        <v>35</v>
      </c>
      <c r="C29" s="5" t="s">
        <v>50</v>
      </c>
      <c r="D29" s="13" t="s">
        <v>198</v>
      </c>
      <c r="E29" s="5" t="s">
        <v>13</v>
      </c>
    </row>
    <row r="30" spans="1:5" x14ac:dyDescent="0.25">
      <c r="A30" s="5">
        <v>4</v>
      </c>
      <c r="B30" s="5" t="s">
        <v>5</v>
      </c>
      <c r="C30" s="5" t="s">
        <v>51</v>
      </c>
      <c r="D30" s="13" t="s">
        <v>198</v>
      </c>
      <c r="E30" s="5" t="s">
        <v>20</v>
      </c>
    </row>
    <row r="31" spans="1:5" ht="28.5" x14ac:dyDescent="0.25">
      <c r="A31" s="5">
        <v>9</v>
      </c>
      <c r="B31" s="5" t="s">
        <v>16</v>
      </c>
      <c r="C31" s="5" t="s">
        <v>52</v>
      </c>
      <c r="D31" s="13" t="s">
        <v>198</v>
      </c>
      <c r="E31" s="5" t="s">
        <v>13</v>
      </c>
    </row>
    <row r="32" spans="1:5" ht="28.5" x14ac:dyDescent="0.25">
      <c r="A32" s="5">
        <v>9</v>
      </c>
      <c r="B32" s="5" t="s">
        <v>16</v>
      </c>
      <c r="C32" s="5" t="s">
        <v>53</v>
      </c>
      <c r="D32" s="13" t="s">
        <v>198</v>
      </c>
      <c r="E32" s="5" t="s">
        <v>20</v>
      </c>
    </row>
    <row r="33" spans="1:5" ht="28.5" x14ac:dyDescent="0.25">
      <c r="A33" s="5">
        <v>8</v>
      </c>
      <c r="B33" s="5" t="s">
        <v>21</v>
      </c>
      <c r="C33" s="5" t="s">
        <v>54</v>
      </c>
      <c r="D33" s="13" t="s">
        <v>198</v>
      </c>
      <c r="E33" s="5" t="s">
        <v>10</v>
      </c>
    </row>
    <row r="34" spans="1:5" x14ac:dyDescent="0.25">
      <c r="A34" s="5">
        <v>7</v>
      </c>
      <c r="B34" s="5" t="s">
        <v>35</v>
      </c>
      <c r="C34" s="5" t="s">
        <v>55</v>
      </c>
      <c r="D34" s="13" t="s">
        <v>198</v>
      </c>
      <c r="E34" s="5" t="s">
        <v>42</v>
      </c>
    </row>
    <row r="35" spans="1:5" ht="28.5" x14ac:dyDescent="0.25">
      <c r="A35" s="5">
        <v>1</v>
      </c>
      <c r="B35" s="5" t="s">
        <v>23</v>
      </c>
      <c r="C35" s="5" t="s">
        <v>56</v>
      </c>
      <c r="D35" s="13" t="s">
        <v>198</v>
      </c>
      <c r="E35" s="5" t="s">
        <v>42</v>
      </c>
    </row>
    <row r="36" spans="1:5" x14ac:dyDescent="0.25">
      <c r="A36" s="5">
        <v>6</v>
      </c>
      <c r="B36" s="5" t="s">
        <v>11</v>
      </c>
      <c r="C36" s="5" t="s">
        <v>57</v>
      </c>
      <c r="D36" s="13" t="s">
        <v>198</v>
      </c>
      <c r="E36" s="5" t="s">
        <v>25</v>
      </c>
    </row>
    <row r="37" spans="1:5" ht="28.5" x14ac:dyDescent="0.25">
      <c r="A37" s="5">
        <v>4</v>
      </c>
      <c r="B37" s="5" t="s">
        <v>5</v>
      </c>
      <c r="C37" s="5" t="s">
        <v>58</v>
      </c>
      <c r="D37" s="13" t="s">
        <v>198</v>
      </c>
      <c r="E37" s="5" t="s">
        <v>18</v>
      </c>
    </row>
    <row r="38" spans="1:5" ht="28.5" x14ac:dyDescent="0.25">
      <c r="A38" s="5">
        <v>2</v>
      </c>
      <c r="B38" s="5" t="s">
        <v>28</v>
      </c>
      <c r="C38" s="5" t="s">
        <v>59</v>
      </c>
      <c r="D38" s="13" t="s">
        <v>198</v>
      </c>
      <c r="E38" s="5" t="s">
        <v>13</v>
      </c>
    </row>
    <row r="39" spans="1:5" x14ac:dyDescent="0.25">
      <c r="A39" s="5">
        <v>5</v>
      </c>
      <c r="B39" s="5" t="s">
        <v>8</v>
      </c>
      <c r="C39" s="5" t="s">
        <v>60</v>
      </c>
      <c r="D39" s="13" t="s">
        <v>198</v>
      </c>
      <c r="E39" s="5" t="s">
        <v>42</v>
      </c>
    </row>
    <row r="40" spans="1:5" x14ac:dyDescent="0.25">
      <c r="A40" s="5">
        <v>1</v>
      </c>
      <c r="B40" s="5" t="s">
        <v>23</v>
      </c>
      <c r="C40" s="5" t="s">
        <v>61</v>
      </c>
      <c r="D40" s="13" t="s">
        <v>198</v>
      </c>
      <c r="E40" s="5" t="s">
        <v>13</v>
      </c>
    </row>
    <row r="41" spans="1:5" x14ac:dyDescent="0.25">
      <c r="A41" s="5">
        <v>8</v>
      </c>
      <c r="B41" s="5" t="s">
        <v>21</v>
      </c>
      <c r="C41" s="5" t="s">
        <v>62</v>
      </c>
      <c r="D41" s="13" t="s">
        <v>198</v>
      </c>
      <c r="E41" s="5" t="s">
        <v>18</v>
      </c>
    </row>
    <row r="42" spans="1:5" ht="28.5" x14ac:dyDescent="0.25">
      <c r="A42" s="5">
        <v>3</v>
      </c>
      <c r="B42" s="5" t="s">
        <v>14</v>
      </c>
      <c r="C42" s="5" t="s">
        <v>63</v>
      </c>
      <c r="D42" s="13" t="s">
        <v>198</v>
      </c>
      <c r="E42" s="5" t="s">
        <v>10</v>
      </c>
    </row>
    <row r="43" spans="1:5" x14ac:dyDescent="0.25">
      <c r="A43" s="5">
        <v>3</v>
      </c>
      <c r="B43" s="5" t="s">
        <v>14</v>
      </c>
      <c r="C43" s="5" t="s">
        <v>64</v>
      </c>
      <c r="D43" s="13" t="s">
        <v>198</v>
      </c>
      <c r="E43" s="5" t="s">
        <v>7</v>
      </c>
    </row>
    <row r="44" spans="1:5" ht="28.5" x14ac:dyDescent="0.25">
      <c r="A44" s="5">
        <v>4</v>
      </c>
      <c r="B44" s="5" t="s">
        <v>5</v>
      </c>
      <c r="C44" s="5" t="s">
        <v>65</v>
      </c>
      <c r="D44" s="13" t="s">
        <v>198</v>
      </c>
      <c r="E44" s="5" t="s">
        <v>32</v>
      </c>
    </row>
    <row r="45" spans="1:5" ht="28.5" x14ac:dyDescent="0.25">
      <c r="A45" s="5">
        <v>6</v>
      </c>
      <c r="B45" s="5" t="s">
        <v>11</v>
      </c>
      <c r="C45" s="5" t="s">
        <v>66</v>
      </c>
      <c r="D45" s="13" t="s">
        <v>198</v>
      </c>
      <c r="E45" s="5" t="s">
        <v>7</v>
      </c>
    </row>
    <row r="46" spans="1:5" ht="28.5" x14ac:dyDescent="0.25">
      <c r="A46" s="5">
        <v>3</v>
      </c>
      <c r="B46" s="5" t="s">
        <v>14</v>
      </c>
      <c r="C46" s="5" t="s">
        <v>67</v>
      </c>
      <c r="D46" s="13" t="s">
        <v>197</v>
      </c>
      <c r="E46" s="5" t="s">
        <v>20</v>
      </c>
    </row>
    <row r="47" spans="1:5" ht="28.5" x14ac:dyDescent="0.25">
      <c r="A47" s="5">
        <v>4</v>
      </c>
      <c r="B47" s="5" t="s">
        <v>5</v>
      </c>
      <c r="C47" s="5" t="s">
        <v>68</v>
      </c>
      <c r="D47" s="13" t="s">
        <v>197</v>
      </c>
      <c r="E47" s="5" t="s">
        <v>25</v>
      </c>
    </row>
    <row r="48" spans="1:5" ht="28.5" x14ac:dyDescent="0.25">
      <c r="A48" s="5">
        <v>6</v>
      </c>
      <c r="B48" s="5" t="s">
        <v>11</v>
      </c>
      <c r="C48" s="5" t="s">
        <v>69</v>
      </c>
      <c r="D48" s="13" t="s">
        <v>197</v>
      </c>
      <c r="E48" s="5" t="s">
        <v>42</v>
      </c>
    </row>
    <row r="49" spans="1:5" ht="28.5" x14ac:dyDescent="0.25">
      <c r="A49" s="5">
        <v>8</v>
      </c>
      <c r="B49" s="5" t="s">
        <v>21</v>
      </c>
      <c r="C49" s="5" t="s">
        <v>70</v>
      </c>
      <c r="D49" s="13" t="s">
        <v>197</v>
      </c>
      <c r="E49" s="5" t="s">
        <v>20</v>
      </c>
    </row>
    <row r="50" spans="1:5" ht="28.5" x14ac:dyDescent="0.25">
      <c r="A50" s="5">
        <v>4</v>
      </c>
      <c r="B50" s="5" t="s">
        <v>5</v>
      </c>
      <c r="C50" s="5" t="s">
        <v>71</v>
      </c>
      <c r="D50" s="13" t="s">
        <v>197</v>
      </c>
      <c r="E50" s="5" t="s">
        <v>25</v>
      </c>
    </row>
    <row r="51" spans="1:5" x14ac:dyDescent="0.25">
      <c r="A51" s="5">
        <v>1</v>
      </c>
      <c r="B51" s="5" t="s">
        <v>23</v>
      </c>
      <c r="C51" s="5" t="s">
        <v>72</v>
      </c>
      <c r="D51" s="13" t="s">
        <v>197</v>
      </c>
      <c r="E51" s="5" t="s">
        <v>10</v>
      </c>
    </row>
    <row r="52" spans="1:5" ht="28.5" x14ac:dyDescent="0.25">
      <c r="A52" s="5">
        <v>5</v>
      </c>
      <c r="B52" s="5" t="s">
        <v>8</v>
      </c>
      <c r="C52" s="5" t="s">
        <v>73</v>
      </c>
      <c r="D52" s="13" t="s">
        <v>197</v>
      </c>
      <c r="E52" s="5" t="s">
        <v>25</v>
      </c>
    </row>
    <row r="53" spans="1:5" ht="28.5" x14ac:dyDescent="0.25">
      <c r="A53" s="5">
        <v>4</v>
      </c>
      <c r="B53" s="5" t="s">
        <v>5</v>
      </c>
      <c r="C53" s="5" t="s">
        <v>74</v>
      </c>
      <c r="D53" s="13" t="s">
        <v>197</v>
      </c>
      <c r="E53" s="5" t="s">
        <v>13</v>
      </c>
    </row>
    <row r="54" spans="1:5" x14ac:dyDescent="0.25">
      <c r="A54" s="5">
        <v>8</v>
      </c>
      <c r="B54" s="5" t="s">
        <v>21</v>
      </c>
      <c r="C54" s="5" t="s">
        <v>75</v>
      </c>
      <c r="D54" s="13" t="s">
        <v>197</v>
      </c>
      <c r="E54" s="5" t="s">
        <v>45</v>
      </c>
    </row>
    <row r="55" spans="1:5" x14ac:dyDescent="0.25">
      <c r="A55" s="5">
        <v>2</v>
      </c>
      <c r="B55" s="5" t="s">
        <v>28</v>
      </c>
      <c r="C55" s="5" t="s">
        <v>76</v>
      </c>
      <c r="D55" s="13" t="s">
        <v>197</v>
      </c>
      <c r="E55" s="5" t="s">
        <v>7</v>
      </c>
    </row>
    <row r="56" spans="1:5" ht="28.5" x14ac:dyDescent="0.25">
      <c r="A56" s="5">
        <v>5</v>
      </c>
      <c r="B56" s="5" t="s">
        <v>8</v>
      </c>
      <c r="C56" s="5" t="s">
        <v>77</v>
      </c>
      <c r="D56" s="13" t="s">
        <v>197</v>
      </c>
      <c r="E56" s="5" t="s">
        <v>7</v>
      </c>
    </row>
    <row r="57" spans="1:5" x14ac:dyDescent="0.25">
      <c r="A57" s="5">
        <v>6</v>
      </c>
      <c r="B57" s="5" t="s">
        <v>11</v>
      </c>
      <c r="C57" s="5" t="s">
        <v>78</v>
      </c>
      <c r="D57" s="13" t="s">
        <v>197</v>
      </c>
      <c r="E57" s="5" t="s">
        <v>13</v>
      </c>
    </row>
    <row r="58" spans="1:5" x14ac:dyDescent="0.25">
      <c r="A58" s="5">
        <v>1</v>
      </c>
      <c r="B58" s="5" t="s">
        <v>23</v>
      </c>
      <c r="C58" s="5" t="s">
        <v>79</v>
      </c>
      <c r="D58" s="13" t="s">
        <v>197</v>
      </c>
      <c r="E58" s="5" t="s">
        <v>20</v>
      </c>
    </row>
    <row r="59" spans="1:5" ht="28.5" x14ac:dyDescent="0.25">
      <c r="A59" s="5">
        <v>7</v>
      </c>
      <c r="B59" s="5" t="s">
        <v>35</v>
      </c>
      <c r="C59" s="5" t="s">
        <v>80</v>
      </c>
      <c r="D59" s="13" t="s">
        <v>197</v>
      </c>
      <c r="E59" s="5" t="s">
        <v>25</v>
      </c>
    </row>
    <row r="60" spans="1:5" ht="28.5" x14ac:dyDescent="0.25">
      <c r="A60" s="5">
        <v>9</v>
      </c>
      <c r="B60" s="5" t="s">
        <v>16</v>
      </c>
      <c r="C60" s="5" t="s">
        <v>81</v>
      </c>
      <c r="D60" s="13" t="s">
        <v>197</v>
      </c>
      <c r="E60" s="5" t="s">
        <v>18</v>
      </c>
    </row>
    <row r="61" spans="1:5" x14ac:dyDescent="0.25">
      <c r="A61" s="5">
        <v>8</v>
      </c>
      <c r="B61" s="5" t="s">
        <v>21</v>
      </c>
      <c r="C61" s="5" t="s">
        <v>82</v>
      </c>
      <c r="D61" s="13" t="s">
        <v>197</v>
      </c>
      <c r="E61" s="5" t="s">
        <v>13</v>
      </c>
    </row>
    <row r="62" spans="1:5" x14ac:dyDescent="0.25">
      <c r="A62" s="5">
        <v>3</v>
      </c>
      <c r="B62" s="5" t="s">
        <v>14</v>
      </c>
      <c r="C62" s="5" t="s">
        <v>83</v>
      </c>
      <c r="D62" s="13" t="s">
        <v>197</v>
      </c>
      <c r="E62" s="5" t="s">
        <v>18</v>
      </c>
    </row>
    <row r="63" spans="1:5" ht="28.5" x14ac:dyDescent="0.25">
      <c r="A63" s="5">
        <v>4</v>
      </c>
      <c r="B63" s="5" t="s">
        <v>5</v>
      </c>
      <c r="C63" s="5" t="s">
        <v>84</v>
      </c>
      <c r="D63" s="13" t="s">
        <v>197</v>
      </c>
      <c r="E63" s="5" t="s">
        <v>7</v>
      </c>
    </row>
    <row r="64" spans="1:5" x14ac:dyDescent="0.25">
      <c r="A64" s="5">
        <v>6</v>
      </c>
      <c r="B64" s="5" t="s">
        <v>11</v>
      </c>
      <c r="C64" s="5" t="s">
        <v>85</v>
      </c>
      <c r="D64" s="13" t="s">
        <v>197</v>
      </c>
      <c r="E64" s="5" t="s">
        <v>18</v>
      </c>
    </row>
    <row r="65" spans="1:5" ht="28.5" x14ac:dyDescent="0.25">
      <c r="A65" s="5">
        <v>2</v>
      </c>
      <c r="B65" s="5" t="s">
        <v>28</v>
      </c>
      <c r="C65" s="5" t="s">
        <v>86</v>
      </c>
      <c r="D65" s="13" t="s">
        <v>197</v>
      </c>
      <c r="E65" s="5" t="s">
        <v>32</v>
      </c>
    </row>
    <row r="66" spans="1:5" ht="28.5" x14ac:dyDescent="0.25">
      <c r="A66" s="5">
        <v>6</v>
      </c>
      <c r="B66" s="5" t="s">
        <v>11</v>
      </c>
      <c r="C66" s="5" t="s">
        <v>87</v>
      </c>
      <c r="D66" s="13" t="s">
        <v>197</v>
      </c>
      <c r="E66" s="5" t="s">
        <v>20</v>
      </c>
    </row>
    <row r="67" spans="1:5" ht="28.5" x14ac:dyDescent="0.25">
      <c r="A67" s="5">
        <v>5</v>
      </c>
      <c r="B67" s="5" t="s">
        <v>8</v>
      </c>
      <c r="C67" s="5" t="s">
        <v>88</v>
      </c>
      <c r="D67" s="13" t="s">
        <v>197</v>
      </c>
      <c r="E67" s="5" t="s">
        <v>42</v>
      </c>
    </row>
    <row r="68" spans="1:5" ht="28.5" x14ac:dyDescent="0.25">
      <c r="A68" s="5">
        <v>3</v>
      </c>
      <c r="B68" s="5" t="s">
        <v>14</v>
      </c>
      <c r="C68" s="5" t="s">
        <v>89</v>
      </c>
      <c r="D68" s="13" t="s">
        <v>197</v>
      </c>
      <c r="E68" s="5" t="s">
        <v>13</v>
      </c>
    </row>
    <row r="69" spans="1:5" ht="28.5" x14ac:dyDescent="0.25">
      <c r="A69" s="5">
        <v>8</v>
      </c>
      <c r="B69" s="5" t="s">
        <v>21</v>
      </c>
      <c r="C69" s="5" t="s">
        <v>90</v>
      </c>
      <c r="D69" s="13" t="s">
        <v>197</v>
      </c>
      <c r="E69" s="5" t="s">
        <v>32</v>
      </c>
    </row>
    <row r="70" spans="1:5" x14ac:dyDescent="0.25">
      <c r="A70" s="5">
        <v>1</v>
      </c>
      <c r="B70" s="5" t="s">
        <v>23</v>
      </c>
      <c r="C70" s="5" t="s">
        <v>91</v>
      </c>
      <c r="D70" s="13" t="s">
        <v>197</v>
      </c>
      <c r="E70" s="5" t="s">
        <v>45</v>
      </c>
    </row>
    <row r="71" spans="1:5" ht="28.5" x14ac:dyDescent="0.25">
      <c r="A71" s="5">
        <v>6</v>
      </c>
      <c r="B71" s="5" t="s">
        <v>11</v>
      </c>
      <c r="C71" s="5" t="s">
        <v>92</v>
      </c>
      <c r="D71" s="13" t="s">
        <v>197</v>
      </c>
      <c r="E71" s="5" t="s">
        <v>45</v>
      </c>
    </row>
    <row r="72" spans="1:5" ht="28.5" x14ac:dyDescent="0.25">
      <c r="A72" s="5">
        <v>9</v>
      </c>
      <c r="B72" s="5" t="s">
        <v>16</v>
      </c>
      <c r="C72" s="5" t="s">
        <v>93</v>
      </c>
      <c r="D72" s="13" t="s">
        <v>197</v>
      </c>
      <c r="E72" s="5" t="s">
        <v>45</v>
      </c>
    </row>
    <row r="73" spans="1:5" ht="28.5" x14ac:dyDescent="0.25">
      <c r="A73" s="5">
        <v>3</v>
      </c>
      <c r="B73" s="5" t="s">
        <v>14</v>
      </c>
      <c r="C73" s="5" t="s">
        <v>94</v>
      </c>
      <c r="D73" s="13" t="s">
        <v>197</v>
      </c>
      <c r="E73" s="5" t="s">
        <v>45</v>
      </c>
    </row>
    <row r="74" spans="1:5" ht="28.5" x14ac:dyDescent="0.25">
      <c r="A74" s="5">
        <v>9</v>
      </c>
      <c r="B74" s="5" t="s">
        <v>16</v>
      </c>
      <c r="C74" s="5" t="s">
        <v>95</v>
      </c>
      <c r="D74" s="13" t="s">
        <v>197</v>
      </c>
      <c r="E74" s="5" t="s">
        <v>10</v>
      </c>
    </row>
    <row r="75" spans="1:5" ht="28.5" x14ac:dyDescent="0.25">
      <c r="A75" s="5">
        <v>8</v>
      </c>
      <c r="B75" s="5" t="s">
        <v>21</v>
      </c>
      <c r="C75" s="5" t="s">
        <v>96</v>
      </c>
      <c r="D75" s="13" t="s">
        <v>197</v>
      </c>
      <c r="E75" s="5" t="s">
        <v>7</v>
      </c>
    </row>
    <row r="76" spans="1:5" ht="28.5" x14ac:dyDescent="0.25">
      <c r="A76" s="5">
        <v>6</v>
      </c>
      <c r="B76" s="5" t="s">
        <v>11</v>
      </c>
      <c r="C76" s="5" t="s">
        <v>97</v>
      </c>
      <c r="D76" s="13" t="s">
        <v>197</v>
      </c>
      <c r="E76" s="5" t="s">
        <v>25</v>
      </c>
    </row>
    <row r="77" spans="1:5" ht="28.5" x14ac:dyDescent="0.25">
      <c r="A77" s="5">
        <v>7</v>
      </c>
      <c r="B77" s="5" t="s">
        <v>35</v>
      </c>
      <c r="C77" s="5" t="s">
        <v>98</v>
      </c>
      <c r="D77" s="13" t="s">
        <v>197</v>
      </c>
      <c r="E77" s="5" t="s">
        <v>32</v>
      </c>
    </row>
    <row r="78" spans="1:5" ht="28.5" x14ac:dyDescent="0.25">
      <c r="A78" s="5">
        <v>9</v>
      </c>
      <c r="B78" s="5" t="s">
        <v>16</v>
      </c>
      <c r="C78" s="5" t="s">
        <v>99</v>
      </c>
      <c r="D78" s="13" t="s">
        <v>197</v>
      </c>
      <c r="E78" s="5" t="s">
        <v>42</v>
      </c>
    </row>
    <row r="79" spans="1:5" ht="28.5" x14ac:dyDescent="0.25">
      <c r="A79" s="5">
        <v>5</v>
      </c>
      <c r="B79" s="5" t="s">
        <v>8</v>
      </c>
      <c r="C79" s="5" t="s">
        <v>100</v>
      </c>
      <c r="D79" s="13" t="s">
        <v>197</v>
      </c>
      <c r="E79" s="5" t="s">
        <v>10</v>
      </c>
    </row>
    <row r="80" spans="1:5" ht="28.5" x14ac:dyDescent="0.25">
      <c r="A80" s="5">
        <v>2</v>
      </c>
      <c r="B80" s="5" t="s">
        <v>28</v>
      </c>
      <c r="C80" s="5" t="s">
        <v>101</v>
      </c>
      <c r="D80" s="13" t="s">
        <v>197</v>
      </c>
      <c r="E80" s="5" t="s">
        <v>20</v>
      </c>
    </row>
    <row r="81" spans="1:5" ht="28.5" x14ac:dyDescent="0.25">
      <c r="A81" s="5">
        <v>7</v>
      </c>
      <c r="B81" s="5" t="s">
        <v>35</v>
      </c>
      <c r="C81" s="5" t="s">
        <v>102</v>
      </c>
      <c r="D81" s="13" t="s">
        <v>197</v>
      </c>
      <c r="E81" s="5" t="s">
        <v>7</v>
      </c>
    </row>
    <row r="82" spans="1:5" x14ac:dyDescent="0.25">
      <c r="A82" s="5">
        <v>2</v>
      </c>
      <c r="B82" s="5" t="s">
        <v>28</v>
      </c>
      <c r="C82" s="5" t="s">
        <v>103</v>
      </c>
      <c r="D82" s="13" t="s">
        <v>197</v>
      </c>
      <c r="E82" s="5" t="s">
        <v>42</v>
      </c>
    </row>
    <row r="83" spans="1:5" ht="28.5" x14ac:dyDescent="0.25">
      <c r="A83" s="5">
        <v>7</v>
      </c>
      <c r="B83" s="5" t="s">
        <v>35</v>
      </c>
      <c r="C83" s="5" t="s">
        <v>104</v>
      </c>
      <c r="D83" s="13" t="s">
        <v>197</v>
      </c>
      <c r="E83" s="5" t="s">
        <v>20</v>
      </c>
    </row>
    <row r="84" spans="1:5" ht="28.5" x14ac:dyDescent="0.25">
      <c r="A84" s="5">
        <v>1</v>
      </c>
      <c r="B84" s="5" t="s">
        <v>23</v>
      </c>
      <c r="C84" s="5" t="s">
        <v>105</v>
      </c>
      <c r="D84" s="13" t="s">
        <v>197</v>
      </c>
      <c r="E84" s="5" t="s">
        <v>32</v>
      </c>
    </row>
    <row r="85" spans="1:5" ht="28.5" x14ac:dyDescent="0.25">
      <c r="A85" s="5">
        <v>5</v>
      </c>
      <c r="B85" s="5" t="s">
        <v>8</v>
      </c>
      <c r="C85" s="5" t="s">
        <v>106</v>
      </c>
      <c r="D85" s="13" t="s">
        <v>197</v>
      </c>
      <c r="E85" s="5" t="s">
        <v>25</v>
      </c>
    </row>
    <row r="86" spans="1:5" ht="28.5" x14ac:dyDescent="0.25">
      <c r="A86" s="5">
        <v>2</v>
      </c>
      <c r="B86" s="5" t="s">
        <v>28</v>
      </c>
      <c r="C86" s="5" t="s">
        <v>107</v>
      </c>
      <c r="D86" s="13" t="s">
        <v>197</v>
      </c>
      <c r="E86" s="5" t="s">
        <v>10</v>
      </c>
    </row>
    <row r="87" spans="1:5" x14ac:dyDescent="0.25">
      <c r="A87" s="5">
        <v>8</v>
      </c>
      <c r="B87" s="5" t="s">
        <v>21</v>
      </c>
      <c r="C87" s="5" t="s">
        <v>108</v>
      </c>
      <c r="D87" s="13" t="s">
        <v>197</v>
      </c>
      <c r="E87" s="5" t="s">
        <v>42</v>
      </c>
    </row>
    <row r="88" spans="1:5" ht="28.5" x14ac:dyDescent="0.25">
      <c r="A88" s="5">
        <v>7</v>
      </c>
      <c r="B88" s="5" t="s">
        <v>35</v>
      </c>
      <c r="C88" s="5" t="s">
        <v>109</v>
      </c>
      <c r="D88" s="13" t="s">
        <v>197</v>
      </c>
      <c r="E88" s="5" t="s">
        <v>10</v>
      </c>
    </row>
    <row r="89" spans="1:5" x14ac:dyDescent="0.25">
      <c r="A89" s="5">
        <v>3</v>
      </c>
      <c r="B89" s="5" t="s">
        <v>14</v>
      </c>
      <c r="C89" s="5" t="s">
        <v>110</v>
      </c>
      <c r="D89" s="13" t="s">
        <v>197</v>
      </c>
      <c r="E89" s="5" t="s">
        <v>25</v>
      </c>
    </row>
    <row r="90" spans="1:5" ht="28.5" x14ac:dyDescent="0.25">
      <c r="A90" s="5">
        <v>2</v>
      </c>
      <c r="B90" s="5" t="s">
        <v>28</v>
      </c>
      <c r="C90" s="5" t="s">
        <v>111</v>
      </c>
      <c r="D90" s="13" t="s">
        <v>197</v>
      </c>
      <c r="E90" s="5" t="s">
        <v>42</v>
      </c>
    </row>
    <row r="91" spans="1:5" x14ac:dyDescent="0.25">
      <c r="A91" s="5">
        <v>7</v>
      </c>
      <c r="B91" s="5" t="s">
        <v>35</v>
      </c>
      <c r="C91" s="5" t="s">
        <v>112</v>
      </c>
      <c r="D91" s="13" t="s">
        <v>197</v>
      </c>
      <c r="E91" s="5" t="s">
        <v>18</v>
      </c>
    </row>
    <row r="92" spans="1:5" ht="28.5" x14ac:dyDescent="0.25">
      <c r="A92" s="5">
        <v>5</v>
      </c>
      <c r="B92" s="5" t="s">
        <v>8</v>
      </c>
      <c r="C92" s="5" t="s">
        <v>113</v>
      </c>
      <c r="D92" s="13" t="s">
        <v>197</v>
      </c>
      <c r="E92" s="5" t="s">
        <v>32</v>
      </c>
    </row>
    <row r="93" spans="1:5" ht="28.5" x14ac:dyDescent="0.25">
      <c r="A93" s="5">
        <v>7</v>
      </c>
      <c r="B93" s="5" t="s">
        <v>35</v>
      </c>
      <c r="C93" s="5" t="s">
        <v>114</v>
      </c>
      <c r="D93" s="13" t="s">
        <v>197</v>
      </c>
      <c r="E93" s="5" t="s">
        <v>32</v>
      </c>
    </row>
    <row r="94" spans="1:5" ht="28.5" x14ac:dyDescent="0.25">
      <c r="A94" s="5">
        <v>9</v>
      </c>
      <c r="B94" s="5" t="s">
        <v>16</v>
      </c>
      <c r="C94" s="5" t="s">
        <v>115</v>
      </c>
      <c r="D94" s="13" t="s">
        <v>197</v>
      </c>
      <c r="E94" s="5" t="s">
        <v>20</v>
      </c>
    </row>
    <row r="95" spans="1:5" ht="28.5" x14ac:dyDescent="0.25">
      <c r="A95" s="5">
        <v>7</v>
      </c>
      <c r="B95" s="5" t="s">
        <v>35</v>
      </c>
      <c r="C95" s="5" t="s">
        <v>116</v>
      </c>
      <c r="D95" s="13" t="s">
        <v>197</v>
      </c>
      <c r="E95" s="5" t="s">
        <v>45</v>
      </c>
    </row>
    <row r="96" spans="1:5" ht="28.5" x14ac:dyDescent="0.25">
      <c r="A96" s="5">
        <v>7</v>
      </c>
      <c r="B96" s="5" t="s">
        <v>35</v>
      </c>
      <c r="C96" s="5" t="s">
        <v>117</v>
      </c>
      <c r="D96" s="13" t="s">
        <v>197</v>
      </c>
      <c r="E96" s="5" t="s">
        <v>10</v>
      </c>
    </row>
    <row r="97" spans="1:5" ht="28.5" x14ac:dyDescent="0.25">
      <c r="A97" s="5">
        <v>6</v>
      </c>
      <c r="B97" s="5" t="s">
        <v>11</v>
      </c>
      <c r="C97" s="5" t="s">
        <v>118</v>
      </c>
      <c r="D97" s="13" t="s">
        <v>197</v>
      </c>
      <c r="E97" s="5" t="s">
        <v>32</v>
      </c>
    </row>
    <row r="98" spans="1:5" x14ac:dyDescent="0.25">
      <c r="A98" s="5">
        <v>7</v>
      </c>
      <c r="B98" s="5" t="s">
        <v>35</v>
      </c>
      <c r="C98" s="5" t="s">
        <v>119</v>
      </c>
      <c r="D98" s="13" t="s">
        <v>197</v>
      </c>
      <c r="E98" s="5" t="s">
        <v>45</v>
      </c>
    </row>
    <row r="99" spans="1:5" x14ac:dyDescent="0.25">
      <c r="A99" s="5">
        <v>7</v>
      </c>
      <c r="B99" s="5" t="s">
        <v>35</v>
      </c>
      <c r="C99" s="5" t="s">
        <v>120</v>
      </c>
      <c r="D99" s="13" t="s">
        <v>197</v>
      </c>
      <c r="E99" s="5" t="s">
        <v>42</v>
      </c>
    </row>
    <row r="100" spans="1:5" x14ac:dyDescent="0.25">
      <c r="A100" s="5">
        <v>6</v>
      </c>
      <c r="B100" s="5" t="s">
        <v>11</v>
      </c>
      <c r="C100" s="5" t="s">
        <v>121</v>
      </c>
      <c r="D100" s="13" t="s">
        <v>197</v>
      </c>
      <c r="E100" s="5" t="s">
        <v>32</v>
      </c>
    </row>
    <row r="101" spans="1:5" ht="28.5" x14ac:dyDescent="0.25">
      <c r="A101" s="5">
        <v>2</v>
      </c>
      <c r="B101" s="5" t="s">
        <v>28</v>
      </c>
      <c r="C101" s="5" t="s">
        <v>122</v>
      </c>
      <c r="D101" s="13" t="s">
        <v>197</v>
      </c>
      <c r="E101" s="5" t="s">
        <v>25</v>
      </c>
    </row>
    <row r="102" spans="1:5" ht="28.5" x14ac:dyDescent="0.25">
      <c r="A102" s="5">
        <v>5</v>
      </c>
      <c r="B102" s="5" t="s">
        <v>8</v>
      </c>
      <c r="C102" s="5" t="s">
        <v>123</v>
      </c>
      <c r="D102" s="13" t="s">
        <v>197</v>
      </c>
      <c r="E102" s="5" t="s">
        <v>20</v>
      </c>
    </row>
    <row r="103" spans="1:5" ht="28.5" x14ac:dyDescent="0.25">
      <c r="A103" s="5">
        <v>7</v>
      </c>
      <c r="B103" s="5" t="s">
        <v>35</v>
      </c>
      <c r="C103" s="5" t="s">
        <v>124</v>
      </c>
      <c r="D103" s="13" t="s">
        <v>197</v>
      </c>
      <c r="E103" s="5" t="s">
        <v>25</v>
      </c>
    </row>
    <row r="104" spans="1:5" ht="28.5" x14ac:dyDescent="0.25">
      <c r="A104" s="5">
        <v>9</v>
      </c>
      <c r="B104" s="5" t="s">
        <v>16</v>
      </c>
      <c r="C104" s="5" t="s">
        <v>125</v>
      </c>
      <c r="D104" s="13" t="s">
        <v>197</v>
      </c>
      <c r="E104" s="5" t="s">
        <v>7</v>
      </c>
    </row>
    <row r="105" spans="1:5" ht="28.5" x14ac:dyDescent="0.25">
      <c r="A105" s="5">
        <v>6</v>
      </c>
      <c r="B105" s="5" t="s">
        <v>11</v>
      </c>
      <c r="C105" s="5" t="s">
        <v>126</v>
      </c>
      <c r="D105" s="13" t="s">
        <v>197</v>
      </c>
      <c r="E105" s="5" t="s">
        <v>18</v>
      </c>
    </row>
    <row r="106" spans="1:5" ht="28.5" x14ac:dyDescent="0.25">
      <c r="A106" s="5">
        <v>2</v>
      </c>
      <c r="B106" s="5" t="s">
        <v>28</v>
      </c>
      <c r="C106" s="5" t="s">
        <v>127</v>
      </c>
      <c r="D106" s="13" t="s">
        <v>197</v>
      </c>
      <c r="E106" s="5" t="s">
        <v>7</v>
      </c>
    </row>
    <row r="107" spans="1:5" x14ac:dyDescent="0.25">
      <c r="A107" s="5">
        <v>5</v>
      </c>
      <c r="B107" s="5" t="s">
        <v>8</v>
      </c>
      <c r="C107" s="5" t="s">
        <v>128</v>
      </c>
      <c r="D107" s="13" t="s">
        <v>197</v>
      </c>
      <c r="E107" s="5" t="s">
        <v>18</v>
      </c>
    </row>
    <row r="108" spans="1:5" ht="28.5" x14ac:dyDescent="0.25">
      <c r="A108" s="5">
        <v>3</v>
      </c>
      <c r="B108" s="5" t="s">
        <v>14</v>
      </c>
      <c r="C108" s="5" t="s">
        <v>129</v>
      </c>
      <c r="D108" s="13" t="s">
        <v>197</v>
      </c>
      <c r="E108" s="5" t="s">
        <v>25</v>
      </c>
    </row>
    <row r="109" spans="1:5" x14ac:dyDescent="0.25">
      <c r="A109" s="5">
        <v>5</v>
      </c>
      <c r="B109" s="5" t="s">
        <v>8</v>
      </c>
      <c r="C109" s="5" t="s">
        <v>130</v>
      </c>
      <c r="D109" s="13" t="s">
        <v>197</v>
      </c>
      <c r="E109" s="5" t="s">
        <v>7</v>
      </c>
    </row>
    <row r="110" spans="1:5" x14ac:dyDescent="0.25">
      <c r="A110" s="5">
        <v>5</v>
      </c>
      <c r="B110" s="5" t="s">
        <v>8</v>
      </c>
      <c r="C110" s="5" t="s">
        <v>131</v>
      </c>
      <c r="D110" s="13" t="s">
        <v>197</v>
      </c>
      <c r="E110" s="5" t="s">
        <v>32</v>
      </c>
    </row>
    <row r="111" spans="1:5" ht="28.5" x14ac:dyDescent="0.25">
      <c r="A111" s="5">
        <v>6</v>
      </c>
      <c r="B111" s="5" t="s">
        <v>11</v>
      </c>
      <c r="C111" s="5" t="s">
        <v>132</v>
      </c>
      <c r="D111" s="13" t="s">
        <v>197</v>
      </c>
      <c r="E111" s="5" t="s">
        <v>10</v>
      </c>
    </row>
    <row r="112" spans="1:5" ht="28.5" x14ac:dyDescent="0.25">
      <c r="A112" s="5">
        <v>3</v>
      </c>
      <c r="B112" s="5" t="s">
        <v>14</v>
      </c>
      <c r="C112" s="5" t="s">
        <v>133</v>
      </c>
      <c r="D112" s="13" t="s">
        <v>197</v>
      </c>
      <c r="E112" s="5" t="s">
        <v>18</v>
      </c>
    </row>
    <row r="113" spans="1:5" ht="28.5" x14ac:dyDescent="0.25">
      <c r="A113" s="5">
        <v>9</v>
      </c>
      <c r="B113" s="5" t="s">
        <v>16</v>
      </c>
      <c r="C113" s="5" t="s">
        <v>134</v>
      </c>
      <c r="D113" s="13" t="s">
        <v>197</v>
      </c>
      <c r="E113" s="5" t="s">
        <v>13</v>
      </c>
    </row>
    <row r="114" spans="1:5" x14ac:dyDescent="0.25">
      <c r="A114" s="5">
        <v>1</v>
      </c>
      <c r="B114" s="5" t="s">
        <v>23</v>
      </c>
      <c r="C114" s="5" t="s">
        <v>135</v>
      </c>
      <c r="D114" s="13" t="s">
        <v>197</v>
      </c>
      <c r="E114" s="5" t="s">
        <v>25</v>
      </c>
    </row>
    <row r="115" spans="1:5" x14ac:dyDescent="0.25">
      <c r="A115" s="5">
        <v>8</v>
      </c>
      <c r="B115" s="5" t="s">
        <v>21</v>
      </c>
      <c r="C115" s="5" t="s">
        <v>136</v>
      </c>
      <c r="D115" s="13" t="s">
        <v>197</v>
      </c>
      <c r="E115" s="5" t="s">
        <v>18</v>
      </c>
    </row>
    <row r="116" spans="1:5" ht="28.5" x14ac:dyDescent="0.25">
      <c r="A116" s="5">
        <v>1</v>
      </c>
      <c r="B116" s="5" t="s">
        <v>23</v>
      </c>
      <c r="C116" s="5" t="s">
        <v>137</v>
      </c>
      <c r="D116" s="13" t="s">
        <v>197</v>
      </c>
      <c r="E116" s="5" t="s">
        <v>13</v>
      </c>
    </row>
    <row r="117" spans="1:5" ht="28.5" x14ac:dyDescent="0.25">
      <c r="A117" s="5">
        <v>4</v>
      </c>
      <c r="B117" s="5" t="s">
        <v>5</v>
      </c>
      <c r="C117" s="5" t="s">
        <v>138</v>
      </c>
      <c r="D117" s="13" t="s">
        <v>197</v>
      </c>
      <c r="E117" s="5" t="s">
        <v>13</v>
      </c>
    </row>
    <row r="118" spans="1:5" x14ac:dyDescent="0.25">
      <c r="A118" s="5">
        <v>4</v>
      </c>
      <c r="B118" s="5" t="s">
        <v>5</v>
      </c>
      <c r="C118" s="5" t="s">
        <v>139</v>
      </c>
      <c r="D118" s="13" t="s">
        <v>197</v>
      </c>
      <c r="E118" s="5" t="s">
        <v>45</v>
      </c>
    </row>
    <row r="119" spans="1:5" ht="28.5" x14ac:dyDescent="0.25">
      <c r="A119" s="5">
        <v>6</v>
      </c>
      <c r="B119" s="5" t="s">
        <v>11</v>
      </c>
      <c r="C119" s="5" t="s">
        <v>140</v>
      </c>
      <c r="D119" s="13" t="s">
        <v>197</v>
      </c>
      <c r="E119" s="5" t="s">
        <v>42</v>
      </c>
    </row>
    <row r="120" spans="1:5" ht="28.5" x14ac:dyDescent="0.25">
      <c r="A120" s="5">
        <v>1</v>
      </c>
      <c r="B120" s="5" t="s">
        <v>23</v>
      </c>
      <c r="C120" s="5" t="s">
        <v>141</v>
      </c>
      <c r="D120" s="13" t="s">
        <v>197</v>
      </c>
      <c r="E120" s="5" t="s">
        <v>45</v>
      </c>
    </row>
    <row r="121" spans="1:5" ht="28.5" x14ac:dyDescent="0.25">
      <c r="A121" s="5">
        <v>6</v>
      </c>
      <c r="B121" s="5" t="s">
        <v>11</v>
      </c>
      <c r="C121" s="5" t="s">
        <v>142</v>
      </c>
      <c r="D121" s="13" t="s">
        <v>197</v>
      </c>
      <c r="E121" s="5" t="s">
        <v>20</v>
      </c>
    </row>
    <row r="122" spans="1:5" x14ac:dyDescent="0.25">
      <c r="A122" s="5">
        <v>2</v>
      </c>
      <c r="B122" s="5" t="s">
        <v>28</v>
      </c>
      <c r="C122" s="5" t="s">
        <v>143</v>
      </c>
      <c r="D122" s="13" t="s">
        <v>197</v>
      </c>
      <c r="E122" s="5" t="s">
        <v>13</v>
      </c>
    </row>
    <row r="123" spans="1:5" ht="28.5" x14ac:dyDescent="0.25">
      <c r="A123" s="5">
        <v>5</v>
      </c>
      <c r="B123" s="5" t="s">
        <v>8</v>
      </c>
      <c r="C123" s="5" t="s">
        <v>144</v>
      </c>
      <c r="D123" s="13" t="s">
        <v>197</v>
      </c>
      <c r="E123" s="5" t="s">
        <v>45</v>
      </c>
    </row>
    <row r="124" spans="1:5" ht="28.5" x14ac:dyDescent="0.25">
      <c r="A124" s="5">
        <v>3</v>
      </c>
      <c r="B124" s="5" t="s">
        <v>14</v>
      </c>
      <c r="C124" s="5" t="s">
        <v>145</v>
      </c>
      <c r="D124" s="13" t="s">
        <v>197</v>
      </c>
      <c r="E124" s="5" t="s">
        <v>32</v>
      </c>
    </row>
    <row r="125" spans="1:5" x14ac:dyDescent="0.25">
      <c r="A125" s="5">
        <v>8</v>
      </c>
      <c r="B125" s="5" t="s">
        <v>21</v>
      </c>
      <c r="C125" s="5" t="s">
        <v>146</v>
      </c>
      <c r="D125" s="13" t="s">
        <v>197</v>
      </c>
      <c r="E125" s="5" t="s">
        <v>32</v>
      </c>
    </row>
    <row r="126" spans="1:5" ht="28.5" x14ac:dyDescent="0.25">
      <c r="A126" s="5">
        <v>3</v>
      </c>
      <c r="B126" s="5" t="s">
        <v>14</v>
      </c>
      <c r="C126" s="5" t="s">
        <v>147</v>
      </c>
      <c r="D126" s="13" t="s">
        <v>197</v>
      </c>
      <c r="E126" s="5" t="s">
        <v>32</v>
      </c>
    </row>
    <row r="127" spans="1:5" x14ac:dyDescent="0.25">
      <c r="A127" s="5">
        <v>1</v>
      </c>
      <c r="B127" s="5" t="s">
        <v>23</v>
      </c>
      <c r="C127" s="5" t="s">
        <v>148</v>
      </c>
      <c r="D127" s="13" t="s">
        <v>197</v>
      </c>
      <c r="E127" s="5" t="s">
        <v>20</v>
      </c>
    </row>
    <row r="128" spans="1:5" ht="28.5" x14ac:dyDescent="0.25">
      <c r="A128" s="5">
        <v>3</v>
      </c>
      <c r="B128" s="5" t="s">
        <v>14</v>
      </c>
      <c r="C128" s="5" t="s">
        <v>149</v>
      </c>
      <c r="D128" s="13" t="s">
        <v>197</v>
      </c>
      <c r="E128" s="5" t="s">
        <v>20</v>
      </c>
    </row>
    <row r="129" spans="1:5" x14ac:dyDescent="0.25">
      <c r="A129" s="5">
        <v>9</v>
      </c>
      <c r="B129" s="5" t="s">
        <v>16</v>
      </c>
      <c r="C129" s="5" t="s">
        <v>150</v>
      </c>
      <c r="D129" s="13" t="s">
        <v>197</v>
      </c>
      <c r="E129" s="5" t="s">
        <v>45</v>
      </c>
    </row>
    <row r="130" spans="1:5" x14ac:dyDescent="0.25">
      <c r="A130" s="5">
        <v>9</v>
      </c>
      <c r="B130" s="5" t="s">
        <v>16</v>
      </c>
      <c r="C130" s="5" t="s">
        <v>151</v>
      </c>
      <c r="D130" s="13" t="s">
        <v>197</v>
      </c>
      <c r="E130" s="5" t="s">
        <v>25</v>
      </c>
    </row>
    <row r="131" spans="1:5" ht="28.5" x14ac:dyDescent="0.25">
      <c r="A131" s="5">
        <v>5</v>
      </c>
      <c r="B131" s="5" t="s">
        <v>8</v>
      </c>
      <c r="C131" s="5" t="s">
        <v>152</v>
      </c>
      <c r="D131" s="13" t="s">
        <v>197</v>
      </c>
      <c r="E131" s="5" t="s">
        <v>13</v>
      </c>
    </row>
    <row r="132" spans="1:5" ht="28.5" x14ac:dyDescent="0.25">
      <c r="A132" s="5">
        <v>9</v>
      </c>
      <c r="B132" s="5" t="s">
        <v>16</v>
      </c>
      <c r="C132" s="5" t="s">
        <v>153</v>
      </c>
      <c r="D132" s="13" t="s">
        <v>197</v>
      </c>
      <c r="E132" s="5" t="s">
        <v>42</v>
      </c>
    </row>
    <row r="133" spans="1:5" x14ac:dyDescent="0.25">
      <c r="A133" s="5">
        <v>3</v>
      </c>
      <c r="B133" s="5" t="s">
        <v>14</v>
      </c>
      <c r="C133" s="5" t="s">
        <v>154</v>
      </c>
      <c r="D133" s="13" t="s">
        <v>197</v>
      </c>
      <c r="E133" s="5" t="s">
        <v>42</v>
      </c>
    </row>
    <row r="134" spans="1:5" ht="28.5" x14ac:dyDescent="0.25">
      <c r="A134" s="5">
        <v>8</v>
      </c>
      <c r="B134" s="5" t="s">
        <v>21</v>
      </c>
      <c r="C134" s="5" t="s">
        <v>155</v>
      </c>
      <c r="D134" s="13" t="s">
        <v>197</v>
      </c>
      <c r="E134" s="5" t="s">
        <v>25</v>
      </c>
    </row>
    <row r="135" spans="1:5" ht="28.5" x14ac:dyDescent="0.25">
      <c r="A135" s="5">
        <v>5</v>
      </c>
      <c r="B135" s="5" t="s">
        <v>8</v>
      </c>
      <c r="C135" s="5" t="s">
        <v>156</v>
      </c>
      <c r="D135" s="13" t="s">
        <v>197</v>
      </c>
      <c r="E135" s="5" t="s">
        <v>13</v>
      </c>
    </row>
    <row r="136" spans="1:5" x14ac:dyDescent="0.25">
      <c r="A136" s="5">
        <v>9</v>
      </c>
      <c r="B136" s="5" t="s">
        <v>16</v>
      </c>
      <c r="C136" s="5" t="s">
        <v>157</v>
      </c>
      <c r="D136" s="13" t="s">
        <v>197</v>
      </c>
      <c r="E136" s="5" t="s">
        <v>32</v>
      </c>
    </row>
    <row r="137" spans="1:5" x14ac:dyDescent="0.25">
      <c r="A137" s="5">
        <v>3</v>
      </c>
      <c r="B137" s="5" t="s">
        <v>14</v>
      </c>
      <c r="C137" s="5" t="s">
        <v>158</v>
      </c>
      <c r="D137" s="13" t="s">
        <v>197</v>
      </c>
      <c r="E137" s="5" t="s">
        <v>45</v>
      </c>
    </row>
    <row r="138" spans="1:5" ht="28.5" x14ac:dyDescent="0.25">
      <c r="A138" s="5">
        <v>1</v>
      </c>
      <c r="B138" s="5" t="s">
        <v>23</v>
      </c>
      <c r="C138" s="5" t="s">
        <v>159</v>
      </c>
      <c r="D138" s="13" t="s">
        <v>197</v>
      </c>
      <c r="E138" s="5" t="s">
        <v>18</v>
      </c>
    </row>
    <row r="139" spans="1:5" ht="28.5" x14ac:dyDescent="0.25">
      <c r="A139" s="5">
        <v>4</v>
      </c>
      <c r="B139" s="5" t="s">
        <v>5</v>
      </c>
      <c r="C139" s="5" t="s">
        <v>160</v>
      </c>
      <c r="D139" s="13" t="s">
        <v>197</v>
      </c>
      <c r="E139" s="5" t="s">
        <v>10</v>
      </c>
    </row>
    <row r="140" spans="1:5" x14ac:dyDescent="0.25">
      <c r="A140" s="5">
        <v>7</v>
      </c>
      <c r="B140" s="5" t="s">
        <v>35</v>
      </c>
      <c r="C140" s="5" t="s">
        <v>161</v>
      </c>
      <c r="D140" s="13" t="s">
        <v>197</v>
      </c>
      <c r="E140" s="5" t="s">
        <v>7</v>
      </c>
    </row>
    <row r="141" spans="1:5" x14ac:dyDescent="0.25">
      <c r="A141" s="5">
        <v>4</v>
      </c>
      <c r="B141" s="5" t="s">
        <v>5</v>
      </c>
      <c r="C141" s="5" t="s">
        <v>162</v>
      </c>
      <c r="D141" s="13" t="s">
        <v>197</v>
      </c>
      <c r="E141" s="5" t="s">
        <v>42</v>
      </c>
    </row>
    <row r="142" spans="1:5" ht="28.5" x14ac:dyDescent="0.25">
      <c r="A142" s="5">
        <v>6</v>
      </c>
      <c r="B142" s="5" t="s">
        <v>11</v>
      </c>
      <c r="C142" s="5" t="s">
        <v>163</v>
      </c>
      <c r="D142" s="13" t="s">
        <v>197</v>
      </c>
      <c r="E142" s="5" t="s">
        <v>10</v>
      </c>
    </row>
    <row r="143" spans="1:5" ht="28.5" x14ac:dyDescent="0.25">
      <c r="A143" s="5">
        <v>9</v>
      </c>
      <c r="B143" s="5" t="s">
        <v>16</v>
      </c>
      <c r="C143" s="5" t="s">
        <v>164</v>
      </c>
      <c r="D143" s="13" t="s">
        <v>197</v>
      </c>
      <c r="E143" s="5" t="s">
        <v>25</v>
      </c>
    </row>
    <row r="144" spans="1:5" ht="28.5" x14ac:dyDescent="0.25">
      <c r="A144" s="5">
        <v>3</v>
      </c>
      <c r="B144" s="5" t="s">
        <v>14</v>
      </c>
      <c r="C144" s="5" t="s">
        <v>165</v>
      </c>
      <c r="D144" s="13" t="s">
        <v>197</v>
      </c>
      <c r="E144" s="5" t="s">
        <v>13</v>
      </c>
    </row>
    <row r="145" spans="1:5" x14ac:dyDescent="0.25">
      <c r="A145" s="5">
        <v>8</v>
      </c>
      <c r="B145" s="5" t="s">
        <v>21</v>
      </c>
      <c r="C145" s="5" t="s">
        <v>166</v>
      </c>
      <c r="D145" s="13" t="s">
        <v>197</v>
      </c>
      <c r="E145" s="5" t="s">
        <v>10</v>
      </c>
    </row>
    <row r="146" spans="1:5" ht="28.5" x14ac:dyDescent="0.25">
      <c r="A146" s="5">
        <v>9</v>
      </c>
      <c r="B146" s="5" t="s">
        <v>16</v>
      </c>
      <c r="C146" s="5" t="s">
        <v>167</v>
      </c>
      <c r="D146" s="13" t="s">
        <v>197</v>
      </c>
      <c r="E146" s="5" t="s">
        <v>10</v>
      </c>
    </row>
    <row r="147" spans="1:5" x14ac:dyDescent="0.25">
      <c r="A147" s="5">
        <v>8</v>
      </c>
      <c r="B147" s="5" t="s">
        <v>21</v>
      </c>
      <c r="C147" s="5" t="s">
        <v>168</v>
      </c>
      <c r="D147" s="13" t="s">
        <v>197</v>
      </c>
      <c r="E147" s="5" t="s">
        <v>42</v>
      </c>
    </row>
    <row r="148" spans="1:5" ht="28.5" x14ac:dyDescent="0.25">
      <c r="A148" s="5">
        <v>4</v>
      </c>
      <c r="B148" s="5" t="s">
        <v>5</v>
      </c>
      <c r="C148" s="5" t="s">
        <v>169</v>
      </c>
      <c r="D148" s="13" t="s">
        <v>197</v>
      </c>
      <c r="E148" s="5" t="s">
        <v>45</v>
      </c>
    </row>
    <row r="149" spans="1:5" ht="28.5" x14ac:dyDescent="0.25">
      <c r="A149" s="5">
        <v>4</v>
      </c>
      <c r="B149" s="5" t="s">
        <v>5</v>
      </c>
      <c r="C149" s="5" t="s">
        <v>170</v>
      </c>
      <c r="D149" s="13" t="s">
        <v>197</v>
      </c>
      <c r="E149" s="5" t="s">
        <v>18</v>
      </c>
    </row>
    <row r="150" spans="1:5" ht="28.5" x14ac:dyDescent="0.25">
      <c r="A150" s="5">
        <v>2</v>
      </c>
      <c r="B150" s="5" t="s">
        <v>28</v>
      </c>
      <c r="C150" s="5" t="s">
        <v>171</v>
      </c>
      <c r="D150" s="13" t="s">
        <v>197</v>
      </c>
      <c r="E150" s="5" t="s">
        <v>45</v>
      </c>
    </row>
    <row r="151" spans="1:5" ht="28.5" x14ac:dyDescent="0.25">
      <c r="A151" s="5">
        <v>1</v>
      </c>
      <c r="B151" s="5" t="s">
        <v>23</v>
      </c>
      <c r="C151" s="5" t="s">
        <v>172</v>
      </c>
      <c r="D151" s="13" t="s">
        <v>197</v>
      </c>
      <c r="E151" s="5" t="s">
        <v>7</v>
      </c>
    </row>
    <row r="152" spans="1:5" x14ac:dyDescent="0.25">
      <c r="A152" s="5">
        <v>1</v>
      </c>
      <c r="B152" s="5" t="s">
        <v>23</v>
      </c>
      <c r="C152" s="5" t="s">
        <v>173</v>
      </c>
      <c r="D152" s="13" t="s">
        <v>197</v>
      </c>
      <c r="E152" s="5" t="s">
        <v>32</v>
      </c>
    </row>
    <row r="153" spans="1:5" ht="28.5" x14ac:dyDescent="0.25">
      <c r="A153" s="5">
        <v>7</v>
      </c>
      <c r="B153" s="5" t="s">
        <v>35</v>
      </c>
      <c r="C153" s="5" t="s">
        <v>174</v>
      </c>
      <c r="D153" s="13" t="s">
        <v>197</v>
      </c>
      <c r="E153" s="5" t="s">
        <v>18</v>
      </c>
    </row>
    <row r="154" spans="1:5" ht="28.5" x14ac:dyDescent="0.25">
      <c r="A154" s="5">
        <v>9</v>
      </c>
      <c r="B154" s="5" t="s">
        <v>16</v>
      </c>
      <c r="C154" s="5" t="s">
        <v>175</v>
      </c>
      <c r="D154" s="13" t="s">
        <v>197</v>
      </c>
      <c r="E154" s="5" t="s">
        <v>7</v>
      </c>
    </row>
    <row r="155" spans="1:5" ht="28.5" x14ac:dyDescent="0.25">
      <c r="A155" s="5">
        <v>2</v>
      </c>
      <c r="B155" s="5" t="s">
        <v>28</v>
      </c>
      <c r="C155" s="5" t="s">
        <v>176</v>
      </c>
      <c r="D155" s="13" t="s">
        <v>197</v>
      </c>
      <c r="E155" s="5" t="s">
        <v>45</v>
      </c>
    </row>
    <row r="156" spans="1:5" x14ac:dyDescent="0.25">
      <c r="A156" s="5">
        <v>8</v>
      </c>
      <c r="B156" s="5" t="s">
        <v>21</v>
      </c>
      <c r="C156" s="5" t="s">
        <v>177</v>
      </c>
      <c r="D156" s="13" t="s">
        <v>197</v>
      </c>
      <c r="E156" s="5" t="s">
        <v>20</v>
      </c>
    </row>
    <row r="157" spans="1:5" ht="28.5" x14ac:dyDescent="0.25">
      <c r="A157" s="5">
        <v>2</v>
      </c>
      <c r="B157" s="5" t="s">
        <v>28</v>
      </c>
      <c r="C157" s="5" t="s">
        <v>178</v>
      </c>
      <c r="D157" s="13" t="s">
        <v>197</v>
      </c>
      <c r="E157" s="5" t="s">
        <v>32</v>
      </c>
    </row>
    <row r="158" spans="1:5" ht="28.5" x14ac:dyDescent="0.25">
      <c r="A158" s="5">
        <v>2</v>
      </c>
      <c r="B158" s="5" t="s">
        <v>28</v>
      </c>
      <c r="C158" s="5" t="s">
        <v>179</v>
      </c>
      <c r="D158" s="13" t="s">
        <v>197</v>
      </c>
      <c r="E158" s="5" t="s">
        <v>10</v>
      </c>
    </row>
    <row r="159" spans="1:5" x14ac:dyDescent="0.25">
      <c r="A159" s="5">
        <v>4</v>
      </c>
      <c r="B159" s="5" t="s">
        <v>5</v>
      </c>
      <c r="C159" s="5" t="s">
        <v>180</v>
      </c>
      <c r="D159" s="13" t="s">
        <v>197</v>
      </c>
      <c r="E159" s="5" t="s">
        <v>42</v>
      </c>
    </row>
    <row r="160" spans="1:5" x14ac:dyDescent="0.25">
      <c r="A160" s="5">
        <v>4</v>
      </c>
      <c r="B160" s="5" t="s">
        <v>5</v>
      </c>
      <c r="C160" s="5" t="s">
        <v>181</v>
      </c>
      <c r="D160" s="13" t="s">
        <v>197</v>
      </c>
      <c r="E160" s="5" t="s">
        <v>32</v>
      </c>
    </row>
    <row r="161" spans="1:46" ht="28.5" x14ac:dyDescent="0.25">
      <c r="A161" s="5">
        <v>4</v>
      </c>
      <c r="B161" s="5" t="s">
        <v>5</v>
      </c>
      <c r="C161" s="5" t="s">
        <v>182</v>
      </c>
      <c r="D161" s="13" t="s">
        <v>197</v>
      </c>
      <c r="E161" s="5" t="s">
        <v>10</v>
      </c>
    </row>
    <row r="162" spans="1:46" x14ac:dyDescent="0.25">
      <c r="A162" s="5">
        <v>1</v>
      </c>
      <c r="B162" s="5" t="s">
        <v>23</v>
      </c>
      <c r="C162" s="5" t="s">
        <v>183</v>
      </c>
      <c r="D162" s="13" t="s">
        <v>197</v>
      </c>
      <c r="E162" s="5" t="s">
        <v>7</v>
      </c>
    </row>
    <row r="163" spans="1:46" ht="28.5" x14ac:dyDescent="0.25">
      <c r="A163" s="5">
        <v>2</v>
      </c>
      <c r="B163" s="5" t="s">
        <v>28</v>
      </c>
      <c r="C163" s="5" t="s">
        <v>184</v>
      </c>
      <c r="D163" s="13" t="s">
        <v>197</v>
      </c>
      <c r="E163" s="5" t="s">
        <v>25</v>
      </c>
    </row>
    <row r="164" spans="1:46" s="7" customFormat="1" x14ac:dyDescent="0.25">
      <c r="A164"/>
      <c r="B164"/>
      <c r="C164"/>
      <c r="D164" s="1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</row>
    <row r="165" spans="1:46" customFormat="1" x14ac:dyDescent="0.25">
      <c r="D165" s="14"/>
    </row>
    <row r="166" spans="1:46" customFormat="1" x14ac:dyDescent="0.25">
      <c r="D166" s="14"/>
    </row>
    <row r="167" spans="1:46" customFormat="1" x14ac:dyDescent="0.25">
      <c r="D167" s="14"/>
    </row>
    <row r="168" spans="1:46" customFormat="1" x14ac:dyDescent="0.25">
      <c r="D168" s="14"/>
    </row>
    <row r="169" spans="1:46" customFormat="1" x14ac:dyDescent="0.25">
      <c r="D169" s="14"/>
    </row>
    <row r="170" spans="1:46" customFormat="1" x14ac:dyDescent="0.25">
      <c r="D170" s="14"/>
    </row>
    <row r="171" spans="1:46" customFormat="1" x14ac:dyDescent="0.25">
      <c r="D171" s="14"/>
    </row>
    <row r="172" spans="1:46" customFormat="1" x14ac:dyDescent="0.25">
      <c r="D172" s="14"/>
    </row>
    <row r="173" spans="1:46" customFormat="1" x14ac:dyDescent="0.25">
      <c r="D173" s="14"/>
    </row>
    <row r="174" spans="1:46" customFormat="1" x14ac:dyDescent="0.25">
      <c r="D174" s="14"/>
    </row>
    <row r="175" spans="1:46" customFormat="1" x14ac:dyDescent="0.25">
      <c r="D175" s="14"/>
    </row>
    <row r="176" spans="1:46" customFormat="1" x14ac:dyDescent="0.25">
      <c r="D176" s="14"/>
    </row>
    <row r="177" spans="4:4" customFormat="1" x14ac:dyDescent="0.25">
      <c r="D177" s="14"/>
    </row>
    <row r="178" spans="4:4" customFormat="1" x14ac:dyDescent="0.25">
      <c r="D178" s="14"/>
    </row>
    <row r="179" spans="4:4" customFormat="1" x14ac:dyDescent="0.25">
      <c r="D179" s="14"/>
    </row>
    <row r="180" spans="4:4" customFormat="1" x14ac:dyDescent="0.25">
      <c r="D180" s="14"/>
    </row>
    <row r="181" spans="4:4" customFormat="1" x14ac:dyDescent="0.25">
      <c r="D181" s="14"/>
    </row>
    <row r="182" spans="4:4" customFormat="1" x14ac:dyDescent="0.25">
      <c r="D182" s="14"/>
    </row>
    <row r="183" spans="4:4" customFormat="1" x14ac:dyDescent="0.25">
      <c r="D183" s="14"/>
    </row>
    <row r="184" spans="4:4" customFormat="1" x14ac:dyDescent="0.25">
      <c r="D184" s="14"/>
    </row>
    <row r="185" spans="4:4" customFormat="1" x14ac:dyDescent="0.25">
      <c r="D185" s="14"/>
    </row>
    <row r="186" spans="4:4" customFormat="1" x14ac:dyDescent="0.25">
      <c r="D186" s="14"/>
    </row>
    <row r="187" spans="4:4" customFormat="1" x14ac:dyDescent="0.25">
      <c r="D187" s="14"/>
    </row>
    <row r="188" spans="4:4" customFormat="1" x14ac:dyDescent="0.25">
      <c r="D188" s="14"/>
    </row>
    <row r="189" spans="4:4" customFormat="1" x14ac:dyDescent="0.25">
      <c r="D189" s="14"/>
    </row>
    <row r="190" spans="4:4" customFormat="1" x14ac:dyDescent="0.25">
      <c r="D190" s="14"/>
    </row>
    <row r="191" spans="4:4" customFormat="1" x14ac:dyDescent="0.25">
      <c r="D191" s="14"/>
    </row>
    <row r="192" spans="4:4" customFormat="1" x14ac:dyDescent="0.25">
      <c r="D192" s="14"/>
    </row>
    <row r="193" spans="4:4" customFormat="1" x14ac:dyDescent="0.25">
      <c r="D193" s="14"/>
    </row>
    <row r="194" spans="4:4" customFormat="1" x14ac:dyDescent="0.25">
      <c r="D194" s="14"/>
    </row>
    <row r="195" spans="4:4" customFormat="1" x14ac:dyDescent="0.25">
      <c r="D195" s="14"/>
    </row>
    <row r="196" spans="4:4" customFormat="1" x14ac:dyDescent="0.25">
      <c r="D196" s="14"/>
    </row>
    <row r="197" spans="4:4" customFormat="1" x14ac:dyDescent="0.25">
      <c r="D197" s="14"/>
    </row>
    <row r="198" spans="4:4" customFormat="1" x14ac:dyDescent="0.25">
      <c r="D198" s="14"/>
    </row>
    <row r="199" spans="4:4" customFormat="1" x14ac:dyDescent="0.25">
      <c r="D199" s="14"/>
    </row>
    <row r="200" spans="4:4" customFormat="1" x14ac:dyDescent="0.25">
      <c r="D200" s="14"/>
    </row>
    <row r="201" spans="4:4" customFormat="1" x14ac:dyDescent="0.25">
      <c r="D201" s="14"/>
    </row>
    <row r="202" spans="4:4" customFormat="1" x14ac:dyDescent="0.25">
      <c r="D202" s="14"/>
    </row>
    <row r="203" spans="4:4" customFormat="1" x14ac:dyDescent="0.25">
      <c r="D203" s="14"/>
    </row>
    <row r="204" spans="4:4" customFormat="1" x14ac:dyDescent="0.25">
      <c r="D204" s="14"/>
    </row>
    <row r="205" spans="4:4" customFormat="1" x14ac:dyDescent="0.25">
      <c r="D205" s="14"/>
    </row>
    <row r="206" spans="4:4" customFormat="1" x14ac:dyDescent="0.25">
      <c r="D206" s="14"/>
    </row>
    <row r="207" spans="4:4" customFormat="1" x14ac:dyDescent="0.25">
      <c r="D207" s="14"/>
    </row>
    <row r="208" spans="4:4" customFormat="1" x14ac:dyDescent="0.25">
      <c r="D208" s="14"/>
    </row>
    <row r="209" spans="4:4" customFormat="1" x14ac:dyDescent="0.25">
      <c r="D209" s="14"/>
    </row>
    <row r="210" spans="4:4" customFormat="1" x14ac:dyDescent="0.25">
      <c r="D210" s="14"/>
    </row>
    <row r="211" spans="4:4" customFormat="1" x14ac:dyDescent="0.25">
      <c r="D211" s="14"/>
    </row>
    <row r="212" spans="4:4" customFormat="1" x14ac:dyDescent="0.25">
      <c r="D212" s="14"/>
    </row>
    <row r="213" spans="4:4" customFormat="1" x14ac:dyDescent="0.25">
      <c r="D213" s="14"/>
    </row>
    <row r="214" spans="4:4" customFormat="1" x14ac:dyDescent="0.25">
      <c r="D214" s="14"/>
    </row>
    <row r="215" spans="4:4" customFormat="1" x14ac:dyDescent="0.25">
      <c r="D215" s="14"/>
    </row>
    <row r="216" spans="4:4" customFormat="1" x14ac:dyDescent="0.25">
      <c r="D216" s="14"/>
    </row>
    <row r="217" spans="4:4" customFormat="1" x14ac:dyDescent="0.25">
      <c r="D217" s="14"/>
    </row>
    <row r="218" spans="4:4" customFormat="1" x14ac:dyDescent="0.25">
      <c r="D218" s="14"/>
    </row>
    <row r="219" spans="4:4" customFormat="1" x14ac:dyDescent="0.25">
      <c r="D219" s="14"/>
    </row>
    <row r="220" spans="4:4" customFormat="1" x14ac:dyDescent="0.25">
      <c r="D220" s="14"/>
    </row>
    <row r="221" spans="4:4" customFormat="1" x14ac:dyDescent="0.25">
      <c r="D221" s="14"/>
    </row>
    <row r="222" spans="4:4" customFormat="1" x14ac:dyDescent="0.25">
      <c r="D222" s="14"/>
    </row>
    <row r="223" spans="4:4" customFormat="1" x14ac:dyDescent="0.25">
      <c r="D223" s="14"/>
    </row>
    <row r="224" spans="4:4" customFormat="1" x14ac:dyDescent="0.25">
      <c r="D224" s="14"/>
    </row>
    <row r="225" spans="4:4" customFormat="1" x14ac:dyDescent="0.25">
      <c r="D225" s="14"/>
    </row>
    <row r="226" spans="4:4" customFormat="1" x14ac:dyDescent="0.25">
      <c r="D226" s="14"/>
    </row>
    <row r="227" spans="4:4" customFormat="1" x14ac:dyDescent="0.25">
      <c r="D227" s="14"/>
    </row>
    <row r="228" spans="4:4" customFormat="1" x14ac:dyDescent="0.25">
      <c r="D228" s="14"/>
    </row>
    <row r="229" spans="4:4" customFormat="1" x14ac:dyDescent="0.25">
      <c r="D229" s="14"/>
    </row>
    <row r="230" spans="4:4" customFormat="1" x14ac:dyDescent="0.25">
      <c r="D230" s="14"/>
    </row>
    <row r="231" spans="4:4" customFormat="1" x14ac:dyDescent="0.25">
      <c r="D231" s="14"/>
    </row>
    <row r="232" spans="4:4" customFormat="1" x14ac:dyDescent="0.25">
      <c r="D232" s="14"/>
    </row>
    <row r="233" spans="4:4" customFormat="1" x14ac:dyDescent="0.25">
      <c r="D233" s="14"/>
    </row>
    <row r="234" spans="4:4" customFormat="1" x14ac:dyDescent="0.25">
      <c r="D234" s="14"/>
    </row>
    <row r="235" spans="4:4" customFormat="1" x14ac:dyDescent="0.25">
      <c r="D235" s="14"/>
    </row>
    <row r="236" spans="4:4" customFormat="1" x14ac:dyDescent="0.25">
      <c r="D236" s="14"/>
    </row>
    <row r="237" spans="4:4" customFormat="1" x14ac:dyDescent="0.25">
      <c r="D237" s="14"/>
    </row>
    <row r="238" spans="4:4" customFormat="1" x14ac:dyDescent="0.25">
      <c r="D238" s="14"/>
    </row>
    <row r="239" spans="4:4" customFormat="1" x14ac:dyDescent="0.25">
      <c r="D239" s="14"/>
    </row>
    <row r="240" spans="4:4" customFormat="1" x14ac:dyDescent="0.25">
      <c r="D240" s="14"/>
    </row>
    <row r="241" spans="4:4" customFormat="1" x14ac:dyDescent="0.25">
      <c r="D241" s="14"/>
    </row>
    <row r="242" spans="4:4" customFormat="1" x14ac:dyDescent="0.25">
      <c r="D242" s="14"/>
    </row>
    <row r="243" spans="4:4" customFormat="1" x14ac:dyDescent="0.25">
      <c r="D243" s="14"/>
    </row>
    <row r="244" spans="4:4" customFormat="1" x14ac:dyDescent="0.25">
      <c r="D244" s="14"/>
    </row>
    <row r="245" spans="4:4" customFormat="1" x14ac:dyDescent="0.25">
      <c r="D245" s="14"/>
    </row>
    <row r="246" spans="4:4" customFormat="1" x14ac:dyDescent="0.25">
      <c r="D246" s="14"/>
    </row>
    <row r="247" spans="4:4" customFormat="1" x14ac:dyDescent="0.25">
      <c r="D247" s="14"/>
    </row>
    <row r="248" spans="4:4" customFormat="1" x14ac:dyDescent="0.25">
      <c r="D248" s="14"/>
    </row>
    <row r="249" spans="4:4" customFormat="1" x14ac:dyDescent="0.25">
      <c r="D249" s="14"/>
    </row>
    <row r="250" spans="4:4" customFormat="1" x14ac:dyDescent="0.25">
      <c r="D250" s="14"/>
    </row>
    <row r="251" spans="4:4" customFormat="1" x14ac:dyDescent="0.25">
      <c r="D251" s="14"/>
    </row>
    <row r="252" spans="4:4" customFormat="1" x14ac:dyDescent="0.25">
      <c r="D252" s="14"/>
    </row>
    <row r="253" spans="4:4" customFormat="1" x14ac:dyDescent="0.25">
      <c r="D253" s="14"/>
    </row>
    <row r="254" spans="4:4" customFormat="1" x14ac:dyDescent="0.25">
      <c r="D254" s="14"/>
    </row>
    <row r="255" spans="4:4" customFormat="1" x14ac:dyDescent="0.25">
      <c r="D255" s="14"/>
    </row>
    <row r="256" spans="4:4" customFormat="1" x14ac:dyDescent="0.25">
      <c r="D256" s="14"/>
    </row>
    <row r="257" spans="4:4" customFormat="1" x14ac:dyDescent="0.25">
      <c r="D257" s="14"/>
    </row>
    <row r="258" spans="4:4" customFormat="1" x14ac:dyDescent="0.25">
      <c r="D258" s="14"/>
    </row>
    <row r="259" spans="4:4" customFormat="1" x14ac:dyDescent="0.25">
      <c r="D259" s="14"/>
    </row>
    <row r="260" spans="4:4" customFormat="1" x14ac:dyDescent="0.25">
      <c r="D260" s="14"/>
    </row>
    <row r="261" spans="4:4" customFormat="1" x14ac:dyDescent="0.25">
      <c r="D261" s="14"/>
    </row>
    <row r="262" spans="4:4" customFormat="1" x14ac:dyDescent="0.25">
      <c r="D262" s="14"/>
    </row>
    <row r="263" spans="4:4" customFormat="1" x14ac:dyDescent="0.25">
      <c r="D263" s="14"/>
    </row>
    <row r="264" spans="4:4" customFormat="1" x14ac:dyDescent="0.25">
      <c r="D264" s="14"/>
    </row>
    <row r="265" spans="4:4" customFormat="1" x14ac:dyDescent="0.25">
      <c r="D265" s="14"/>
    </row>
    <row r="266" spans="4:4" customFormat="1" x14ac:dyDescent="0.25">
      <c r="D266" s="14"/>
    </row>
    <row r="267" spans="4:4" customFormat="1" x14ac:dyDescent="0.25">
      <c r="D267" s="14"/>
    </row>
    <row r="268" spans="4:4" customFormat="1" x14ac:dyDescent="0.25">
      <c r="D268" s="14"/>
    </row>
    <row r="269" spans="4:4" customFormat="1" x14ac:dyDescent="0.25">
      <c r="D269" s="14"/>
    </row>
    <row r="270" spans="4:4" customFormat="1" x14ac:dyDescent="0.25">
      <c r="D270" s="14"/>
    </row>
    <row r="271" spans="4:4" customFormat="1" x14ac:dyDescent="0.25">
      <c r="D271" s="14"/>
    </row>
    <row r="272" spans="4:4" customFormat="1" x14ac:dyDescent="0.25">
      <c r="D272" s="14"/>
    </row>
    <row r="273" spans="4:4" customFormat="1" x14ac:dyDescent="0.25">
      <c r="D273" s="14"/>
    </row>
    <row r="274" spans="4:4" customFormat="1" x14ac:dyDescent="0.25">
      <c r="D274" s="14"/>
    </row>
    <row r="275" spans="4:4" customFormat="1" x14ac:dyDescent="0.25">
      <c r="D275" s="14"/>
    </row>
    <row r="276" spans="4:4" customFormat="1" x14ac:dyDescent="0.25">
      <c r="D276" s="14"/>
    </row>
    <row r="277" spans="4:4" customFormat="1" x14ac:dyDescent="0.25">
      <c r="D277" s="14"/>
    </row>
    <row r="278" spans="4:4" customFormat="1" x14ac:dyDescent="0.25">
      <c r="D278" s="14"/>
    </row>
    <row r="279" spans="4:4" customFormat="1" x14ac:dyDescent="0.25">
      <c r="D279" s="14"/>
    </row>
    <row r="280" spans="4:4" customFormat="1" x14ac:dyDescent="0.25">
      <c r="D280" s="14"/>
    </row>
    <row r="281" spans="4:4" customFormat="1" x14ac:dyDescent="0.25">
      <c r="D281" s="14"/>
    </row>
    <row r="282" spans="4:4" customFormat="1" x14ac:dyDescent="0.25">
      <c r="D282" s="14"/>
    </row>
    <row r="283" spans="4:4" customFormat="1" x14ac:dyDescent="0.25">
      <c r="D283" s="14"/>
    </row>
    <row r="284" spans="4:4" customFormat="1" x14ac:dyDescent="0.25">
      <c r="D284" s="14"/>
    </row>
    <row r="285" spans="4:4" customFormat="1" x14ac:dyDescent="0.25">
      <c r="D285" s="14"/>
    </row>
    <row r="286" spans="4:4" customFormat="1" x14ac:dyDescent="0.25">
      <c r="D286" s="14"/>
    </row>
    <row r="287" spans="4:4" customFormat="1" x14ac:dyDescent="0.25">
      <c r="D287" s="14"/>
    </row>
    <row r="288" spans="4:4" customFormat="1" x14ac:dyDescent="0.25">
      <c r="D288" s="14"/>
    </row>
    <row r="289" spans="4:4" customFormat="1" x14ac:dyDescent="0.25">
      <c r="D289" s="14"/>
    </row>
    <row r="290" spans="4:4" customFormat="1" x14ac:dyDescent="0.25">
      <c r="D290" s="14"/>
    </row>
    <row r="291" spans="4:4" customFormat="1" x14ac:dyDescent="0.25">
      <c r="D291" s="14"/>
    </row>
    <row r="292" spans="4:4" customFormat="1" x14ac:dyDescent="0.25">
      <c r="D292" s="14"/>
    </row>
    <row r="293" spans="4:4" customFormat="1" x14ac:dyDescent="0.25">
      <c r="D293" s="14"/>
    </row>
    <row r="294" spans="4:4" customFormat="1" x14ac:dyDescent="0.25">
      <c r="D294" s="14"/>
    </row>
    <row r="295" spans="4:4" customFormat="1" x14ac:dyDescent="0.25">
      <c r="D295" s="14"/>
    </row>
    <row r="296" spans="4:4" customFormat="1" x14ac:dyDescent="0.25">
      <c r="D296" s="14"/>
    </row>
    <row r="297" spans="4:4" customFormat="1" x14ac:dyDescent="0.25">
      <c r="D297" s="14"/>
    </row>
    <row r="298" spans="4:4" customFormat="1" x14ac:dyDescent="0.25">
      <c r="D298" s="14"/>
    </row>
    <row r="299" spans="4:4" customFormat="1" x14ac:dyDescent="0.25">
      <c r="D299" s="14"/>
    </row>
    <row r="300" spans="4:4" customFormat="1" x14ac:dyDescent="0.25">
      <c r="D300" s="14"/>
    </row>
    <row r="301" spans="4:4" customFormat="1" x14ac:dyDescent="0.25">
      <c r="D301" s="14"/>
    </row>
    <row r="302" spans="4:4" customFormat="1" x14ac:dyDescent="0.25">
      <c r="D302" s="14"/>
    </row>
    <row r="303" spans="4:4" customFormat="1" x14ac:dyDescent="0.25">
      <c r="D303" s="14"/>
    </row>
    <row r="304" spans="4:4" customFormat="1" x14ac:dyDescent="0.25">
      <c r="D304" s="14"/>
    </row>
    <row r="305" spans="4:4" customFormat="1" x14ac:dyDescent="0.25">
      <c r="D305" s="14"/>
    </row>
    <row r="306" spans="4:4" customFormat="1" x14ac:dyDescent="0.25">
      <c r="D306" s="14"/>
    </row>
    <row r="307" spans="4:4" customFormat="1" x14ac:dyDescent="0.25">
      <c r="D307" s="14"/>
    </row>
    <row r="308" spans="4:4" customFormat="1" x14ac:dyDescent="0.25">
      <c r="D308" s="14"/>
    </row>
    <row r="309" spans="4:4" customFormat="1" x14ac:dyDescent="0.25">
      <c r="D309" s="14"/>
    </row>
    <row r="310" spans="4:4" customFormat="1" x14ac:dyDescent="0.25">
      <c r="D310" s="14"/>
    </row>
    <row r="311" spans="4:4" customFormat="1" x14ac:dyDescent="0.25">
      <c r="D311" s="14"/>
    </row>
    <row r="312" spans="4:4" customFormat="1" x14ac:dyDescent="0.25">
      <c r="D312" s="14"/>
    </row>
    <row r="313" spans="4:4" customFormat="1" x14ac:dyDescent="0.25">
      <c r="D313" s="14"/>
    </row>
    <row r="314" spans="4:4" customFormat="1" x14ac:dyDescent="0.25">
      <c r="D314" s="14"/>
    </row>
    <row r="315" spans="4:4" customFormat="1" x14ac:dyDescent="0.25">
      <c r="D315" s="14"/>
    </row>
    <row r="316" spans="4:4" customFormat="1" x14ac:dyDescent="0.25">
      <c r="D316" s="14"/>
    </row>
    <row r="317" spans="4:4" customFormat="1" x14ac:dyDescent="0.25">
      <c r="D317" s="14"/>
    </row>
    <row r="318" spans="4:4" customFormat="1" x14ac:dyDescent="0.25">
      <c r="D318" s="14"/>
    </row>
    <row r="319" spans="4:4" customFormat="1" x14ac:dyDescent="0.25">
      <c r="D319" s="14"/>
    </row>
    <row r="320" spans="4:4" customFormat="1" x14ac:dyDescent="0.25">
      <c r="D320" s="14"/>
    </row>
    <row r="321" spans="4:4" customFormat="1" x14ac:dyDescent="0.25">
      <c r="D321" s="14"/>
    </row>
    <row r="322" spans="4:4" customFormat="1" x14ac:dyDescent="0.25">
      <c r="D322" s="14"/>
    </row>
    <row r="323" spans="4:4" customFormat="1" x14ac:dyDescent="0.25">
      <c r="D323" s="14"/>
    </row>
    <row r="324" spans="4:4" customFormat="1" x14ac:dyDescent="0.25">
      <c r="D324" s="14"/>
    </row>
    <row r="325" spans="4:4" customFormat="1" x14ac:dyDescent="0.25">
      <c r="D325" s="14"/>
    </row>
    <row r="326" spans="4:4" customFormat="1" x14ac:dyDescent="0.25">
      <c r="D326" s="14"/>
    </row>
    <row r="327" spans="4:4" customFormat="1" x14ac:dyDescent="0.25">
      <c r="D327" s="14"/>
    </row>
    <row r="328" spans="4:4" customFormat="1" x14ac:dyDescent="0.25">
      <c r="D328" s="14"/>
    </row>
    <row r="329" spans="4:4" customFormat="1" x14ac:dyDescent="0.25">
      <c r="D329" s="14"/>
    </row>
    <row r="330" spans="4:4" customFormat="1" x14ac:dyDescent="0.25">
      <c r="D330" s="14"/>
    </row>
    <row r="331" spans="4:4" customFormat="1" x14ac:dyDescent="0.25">
      <c r="D331" s="14"/>
    </row>
    <row r="332" spans="4:4" customFormat="1" x14ac:dyDescent="0.25">
      <c r="D332" s="14"/>
    </row>
    <row r="333" spans="4:4" customFormat="1" x14ac:dyDescent="0.25">
      <c r="D333" s="14"/>
    </row>
    <row r="334" spans="4:4" customFormat="1" x14ac:dyDescent="0.25">
      <c r="D334" s="14"/>
    </row>
    <row r="335" spans="4:4" customFormat="1" x14ac:dyDescent="0.25">
      <c r="D335" s="14"/>
    </row>
    <row r="336" spans="4:4" customFormat="1" x14ac:dyDescent="0.25">
      <c r="D336" s="14"/>
    </row>
    <row r="337" spans="4:4" customFormat="1" x14ac:dyDescent="0.25">
      <c r="D337" s="14"/>
    </row>
    <row r="338" spans="4:4" customFormat="1" x14ac:dyDescent="0.25">
      <c r="D338" s="14"/>
    </row>
    <row r="339" spans="4:4" customFormat="1" x14ac:dyDescent="0.25">
      <c r="D339" s="14"/>
    </row>
    <row r="340" spans="4:4" customFormat="1" x14ac:dyDescent="0.25">
      <c r="D340" s="14"/>
    </row>
    <row r="341" spans="4:4" customFormat="1" x14ac:dyDescent="0.25">
      <c r="D341" s="14"/>
    </row>
    <row r="342" spans="4:4" customFormat="1" x14ac:dyDescent="0.25">
      <c r="D342" s="14"/>
    </row>
    <row r="343" spans="4:4" customFormat="1" x14ac:dyDescent="0.25">
      <c r="D343" s="14"/>
    </row>
    <row r="344" spans="4:4" customFormat="1" x14ac:dyDescent="0.25">
      <c r="D344" s="14"/>
    </row>
    <row r="345" spans="4:4" customFormat="1" x14ac:dyDescent="0.25">
      <c r="D345" s="14"/>
    </row>
    <row r="346" spans="4:4" customFormat="1" x14ac:dyDescent="0.25">
      <c r="D346" s="14"/>
    </row>
    <row r="347" spans="4:4" customFormat="1" x14ac:dyDescent="0.25">
      <c r="D347" s="14"/>
    </row>
    <row r="348" spans="4:4" customFormat="1" x14ac:dyDescent="0.25">
      <c r="D348" s="14"/>
    </row>
    <row r="349" spans="4:4" customFormat="1" x14ac:dyDescent="0.25">
      <c r="D349" s="14"/>
    </row>
    <row r="350" spans="4:4" customFormat="1" x14ac:dyDescent="0.25">
      <c r="D350" s="14"/>
    </row>
    <row r="351" spans="4:4" customFormat="1" x14ac:dyDescent="0.25">
      <c r="D351" s="14"/>
    </row>
    <row r="352" spans="4:4" customFormat="1" x14ac:dyDescent="0.25">
      <c r="D352" s="14"/>
    </row>
    <row r="353" spans="4:4" customFormat="1" x14ac:dyDescent="0.25">
      <c r="D353" s="14"/>
    </row>
    <row r="354" spans="4:4" customFormat="1" x14ac:dyDescent="0.25">
      <c r="D354" s="14"/>
    </row>
    <row r="355" spans="4:4" customFormat="1" x14ac:dyDescent="0.25">
      <c r="D355" s="14"/>
    </row>
    <row r="356" spans="4:4" customFormat="1" x14ac:dyDescent="0.25">
      <c r="D356" s="14"/>
    </row>
    <row r="357" spans="4:4" customFormat="1" x14ac:dyDescent="0.25">
      <c r="D357" s="14"/>
    </row>
    <row r="358" spans="4:4" customFormat="1" x14ac:dyDescent="0.25">
      <c r="D358" s="14"/>
    </row>
    <row r="359" spans="4:4" customFormat="1" x14ac:dyDescent="0.25">
      <c r="D359" s="14"/>
    </row>
    <row r="360" spans="4:4" customFormat="1" x14ac:dyDescent="0.25">
      <c r="D360" s="14"/>
    </row>
    <row r="361" spans="4:4" customFormat="1" x14ac:dyDescent="0.25">
      <c r="D361" s="14"/>
    </row>
    <row r="362" spans="4:4" customFormat="1" x14ac:dyDescent="0.25">
      <c r="D362" s="14"/>
    </row>
    <row r="363" spans="4:4" customFormat="1" x14ac:dyDescent="0.25">
      <c r="D363" s="14"/>
    </row>
    <row r="364" spans="4:4" customFormat="1" x14ac:dyDescent="0.25">
      <c r="D364" s="14"/>
    </row>
    <row r="365" spans="4:4" customFormat="1" x14ac:dyDescent="0.25">
      <c r="D365" s="14"/>
    </row>
    <row r="366" spans="4:4" customFormat="1" x14ac:dyDescent="0.25">
      <c r="D366" s="14"/>
    </row>
    <row r="367" spans="4:4" customFormat="1" x14ac:dyDescent="0.25">
      <c r="D367" s="14"/>
    </row>
    <row r="368" spans="4:4" customFormat="1" x14ac:dyDescent="0.25">
      <c r="D368" s="14"/>
    </row>
    <row r="369" spans="4:4" customFormat="1" x14ac:dyDescent="0.25">
      <c r="D369" s="14"/>
    </row>
    <row r="370" spans="4:4" customFormat="1" x14ac:dyDescent="0.25">
      <c r="D370" s="14"/>
    </row>
    <row r="371" spans="4:4" customFormat="1" x14ac:dyDescent="0.25">
      <c r="D371" s="14"/>
    </row>
    <row r="372" spans="4:4" customFormat="1" x14ac:dyDescent="0.25">
      <c r="D372" s="14"/>
    </row>
    <row r="373" spans="4:4" customFormat="1" x14ac:dyDescent="0.25">
      <c r="D373" s="14"/>
    </row>
  </sheetData>
  <autoFilter ref="A1:AT1" xr:uid="{00000000-0001-0000-0000-000000000000}"/>
  <dataValidations count="1">
    <dataValidation type="list" allowBlank="1" sqref="D2:D163" xr:uid="{00000000-0002-0000-0000-000000000000}">
      <formula1>"SI,NO"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6" sqref="D16"/>
    </sheetView>
  </sheetViews>
  <sheetFormatPr defaultColWidth="8.7109375" defaultRowHeight="15" x14ac:dyDescent="0.25"/>
  <cols>
    <col min="1" max="1" width="26" customWidth="1"/>
    <col min="2" max="2" width="20.7109375" style="11" customWidth="1"/>
    <col min="3" max="12" width="16" style="11" customWidth="1"/>
  </cols>
  <sheetData>
    <row r="1" spans="1:12" ht="58.5" customHeight="1" x14ac:dyDescent="0.25">
      <c r="A1" s="1" t="s">
        <v>185</v>
      </c>
      <c r="B1" s="8" t="s">
        <v>186</v>
      </c>
      <c r="C1" s="8" t="s">
        <v>187</v>
      </c>
      <c r="D1" s="8" t="s">
        <v>188</v>
      </c>
      <c r="E1" s="8" t="s">
        <v>189</v>
      </c>
      <c r="F1" s="8" t="s">
        <v>190</v>
      </c>
      <c r="G1" s="8" t="s">
        <v>191</v>
      </c>
      <c r="H1" s="8" t="s">
        <v>192</v>
      </c>
      <c r="I1" s="8" t="s">
        <v>193</v>
      </c>
      <c r="J1" s="8" t="s">
        <v>194</v>
      </c>
      <c r="K1" s="8" t="s">
        <v>195</v>
      </c>
      <c r="L1" s="8" t="s">
        <v>196</v>
      </c>
    </row>
    <row r="2" spans="1:12" x14ac:dyDescent="0.25">
      <c r="A2" s="2" t="s">
        <v>28</v>
      </c>
      <c r="B2" s="9">
        <f>COUNTIFS('Table 1'!$B$2:$B$163,"Tipo 2 – L'Altruista*",'Table 1'!$E$2:$E$163,"motivazione centrale",'Table 1'!$D$2:$D$163,"SI")</f>
        <v>0</v>
      </c>
      <c r="C2" s="9">
        <f>COUNTIFS('Table 1'!$B$2:$B$163,"Tipo 2 – L'Altruista*",'Table 1'!$E$2:$E$163,"paura centrale",'Table 1'!$D$2:$D$163,"SI")</f>
        <v>2</v>
      </c>
      <c r="D2" s="9">
        <f>COUNTIFS('Table 1'!$B$2:$B$163,"Tipo 2 – L'Altruista*",'Table 1'!$E$2:$E$163,"filtro attentivo",'Table 1'!$D$2:$D$163,"SI")</f>
        <v>2</v>
      </c>
      <c r="E2" s="9">
        <f>COUNTIFS('Table 1'!$B$2:$B$163,"Tipo 2 – L'Altruista*",'Table 1'!$E$2:$E$163,"tono emotivo di fondo",'Table 1'!$D$2:$D$163,"SI")</f>
        <v>2</v>
      </c>
      <c r="F2" s="9">
        <f>COUNTIFS('Table 1'!$B$2:$B$163,"Tipo 2 – L'Altruista*",'Table 1'!$E$2:$E$163,"meccanismo di evitamento",'Table 1'!$D$2:$D$163,"SI")</f>
        <v>2</v>
      </c>
      <c r="G2" s="9">
        <f>COUNTIFS('Table 1'!$B$2:$B$163,"Tipo 2 – L'Altruista*",'Table 1'!$E$2:$E$163,"stile di azione e scelta",'Table 1'!$D$2:$D$163,"SI")</f>
        <v>2</v>
      </c>
      <c r="H2" s="9">
        <f>COUNTIFS('Table 1'!$B$2:$B$163,"Tipo 2 – L'Altruista*",'Table 1'!$E$2:$E$163,"reattività istintiva",'Table 1'!$D$2:$D$163,"SI")</f>
        <v>1</v>
      </c>
      <c r="I2" s="9">
        <f>COUNTIFS('Table 1'!$B$2:$B$163,"Tipo 2 – L'Altruista*",'Table 1'!$E$2:$E$163,"risposta a stress e sicurezza",'Table 1'!$D$2:$D$163,"SI")</f>
        <v>1</v>
      </c>
      <c r="J2" s="9">
        <f>COUNTIFS('Table 1'!$B$2:$B$163,"Tipo 2 – L'Altruista*",'Table 1'!$E$2:$E$163,"regolazione della vicinanza emotiva",'Table 1'!$D$2:$D$163,"SI")</f>
        <v>2</v>
      </c>
      <c r="K2" s="9">
        <f t="shared" ref="K2:K9" si="0">SUM(B2:J2)</f>
        <v>14</v>
      </c>
      <c r="L2" s="10">
        <f t="shared" ref="L2:L9" si="1">K2/18</f>
        <v>0.77777777777777779</v>
      </c>
    </row>
    <row r="3" spans="1:12" x14ac:dyDescent="0.25">
      <c r="A3" s="2" t="s">
        <v>14</v>
      </c>
      <c r="B3" s="9">
        <f>COUNTIFS('Table 1'!$B$2:$B$163,"Tipo 3 – L'Esecutore*",'Table 1'!$E$2:$E$163,"motivazione centrale",'Table 1'!$D$2:$D$163,"SI")</f>
        <v>2</v>
      </c>
      <c r="C3" s="9">
        <f>COUNTIFS('Table 1'!$B$2:$B$163,"Tipo 3 – L'Esecutore*",'Table 1'!$E$2:$E$163,"paura centrale",'Table 1'!$D$2:$D$163,"SI")</f>
        <v>1</v>
      </c>
      <c r="D3" s="9">
        <f>COUNTIFS('Table 1'!$B$2:$B$163,"Tipo 3 – L'Esecutore*",'Table 1'!$E$2:$E$163,"filtro attentivo",'Table 1'!$D$2:$D$163,"SI")</f>
        <v>2</v>
      </c>
      <c r="E3" s="9">
        <f>COUNTIFS('Table 1'!$B$2:$B$163,"Tipo 3 – L'Esecutore*",'Table 1'!$E$2:$E$163,"tono emotivo di fondo",'Table 1'!$D$2:$D$163,"SI")</f>
        <v>0</v>
      </c>
      <c r="F3" s="9">
        <f>COUNTIFS('Table 1'!$B$2:$B$163,"Tipo 3 – L'Esecutore*",'Table 1'!$E$2:$E$163,"meccanismo di evitamento",'Table 1'!$D$2:$D$163,"SI")</f>
        <v>2</v>
      </c>
      <c r="G3" s="9">
        <f>COUNTIFS('Table 1'!$B$2:$B$163,"Tipo 3 – L'Esecutore*",'Table 1'!$E$2:$E$163,"stile di azione e scelta",'Table 1'!$D$2:$D$163,"SI")</f>
        <v>2</v>
      </c>
      <c r="H3" s="9">
        <f>COUNTIFS('Table 1'!$B$2:$B$163,"Tipo 3 – L'Esecutore*",'Table 1'!$E$2:$E$163,"reattività istintiva",'Table 1'!$D$2:$D$163,"SI")</f>
        <v>2</v>
      </c>
      <c r="I3" s="9">
        <f>COUNTIFS('Table 1'!$B$2:$B$163,"Tipo 3 – L'Esecutore*",'Table 1'!$E$2:$E$163,"risposta a stress e sicurezza",'Table 1'!$D$2:$D$163,"SI")</f>
        <v>2</v>
      </c>
      <c r="J3" s="9">
        <f>COUNTIFS('Table 1'!$B$2:$B$163,"Tipo 3 – L'Esecutore*",'Table 1'!$E$2:$E$163,"regolazione della vicinanza emotiva",'Table 1'!$D$2:$D$163,"SI")</f>
        <v>0</v>
      </c>
      <c r="K3" s="9">
        <f t="shared" si="0"/>
        <v>13</v>
      </c>
      <c r="L3" s="10">
        <f t="shared" si="1"/>
        <v>0.72222222222222221</v>
      </c>
    </row>
    <row r="4" spans="1:12" x14ac:dyDescent="0.25">
      <c r="A4" s="2" t="s">
        <v>5</v>
      </c>
      <c r="B4" s="9">
        <f>COUNTIFS('Table 1'!$B$2:$B$163,"Tipo 4 – Il Romantico*",'Table 1'!$E$2:$E$163,"motivazione centrale",'Table 1'!$D$2:$D$163,"SI")</f>
        <v>1</v>
      </c>
      <c r="C4" s="9">
        <f>COUNTIFS('Table 1'!$B$2:$B$163,"Tipo 4 – Il Romantico*",'Table 1'!$E$2:$E$163,"paura centrale",'Table 1'!$D$2:$D$163,"SI")</f>
        <v>2</v>
      </c>
      <c r="D4" s="9">
        <f>COUNTIFS('Table 1'!$B$2:$B$163,"Tipo 4 – Il Romantico*",'Table 1'!$E$2:$E$163,"filtro attentivo",'Table 1'!$D$2:$D$163,"SI")</f>
        <v>2</v>
      </c>
      <c r="E4" s="9">
        <f>COUNTIFS('Table 1'!$B$2:$B$163,"Tipo 4 – Il Romantico*",'Table 1'!$E$2:$E$163,"tono emotivo di fondo",'Table 1'!$D$2:$D$163,"SI")</f>
        <v>1</v>
      </c>
      <c r="F4" s="9">
        <f>COUNTIFS('Table 1'!$B$2:$B$163,"Tipo 4 – Il Romantico*",'Table 1'!$E$2:$E$163,"meccanismo di evitamento",'Table 1'!$D$2:$D$163,"SI")</f>
        <v>1</v>
      </c>
      <c r="G4" s="9">
        <f>COUNTIFS('Table 1'!$B$2:$B$163,"Tipo 4 – Il Romantico*",'Table 1'!$E$2:$E$163,"stile di azione e scelta",'Table 1'!$D$2:$D$163,"SI")</f>
        <v>2</v>
      </c>
      <c r="H4" s="9">
        <f>COUNTIFS('Table 1'!$B$2:$B$163,"Tipo 4 – Il Romantico*",'Table 1'!$E$2:$E$163,"reattività istintiva",'Table 1'!$D$2:$D$163,"SI")</f>
        <v>0</v>
      </c>
      <c r="I4" s="9">
        <f>COUNTIFS('Table 1'!$B$2:$B$163,"Tipo 4 – Il Romantico*",'Table 1'!$E$2:$E$163,"risposta a stress e sicurezza",'Table 1'!$D$2:$D$163,"SI")</f>
        <v>2</v>
      </c>
      <c r="J4" s="9">
        <f>COUNTIFS('Table 1'!$B$2:$B$163,"Tipo 4 – Il Romantico*",'Table 1'!$E$2:$E$163,"regolazione della vicinanza emotiva",'Table 1'!$D$2:$D$163,"SI")</f>
        <v>2</v>
      </c>
      <c r="K4" s="9">
        <f t="shared" si="0"/>
        <v>13</v>
      </c>
      <c r="L4" s="10">
        <f t="shared" si="1"/>
        <v>0.72222222222222221</v>
      </c>
    </row>
    <row r="5" spans="1:12" x14ac:dyDescent="0.25">
      <c r="A5" s="2" t="s">
        <v>8</v>
      </c>
      <c r="B5" s="9">
        <f>COUNTIFS('Table 1'!$B$2:$B$163,"Tipo 5 – L'Osservatore*",'Table 1'!$E$2:$E$163,"motivazione centrale",'Table 1'!$D$2:$D$163,"SI")</f>
        <v>1</v>
      </c>
      <c r="C5" s="9">
        <f>COUNTIFS('Table 1'!$B$2:$B$163,"Tipo 5 – L'Osservatore*",'Table 1'!$E$2:$E$163,"paura centrale",'Table 1'!$D$2:$D$163,"SI")</f>
        <v>1</v>
      </c>
      <c r="D5" s="9">
        <f>COUNTIFS('Table 1'!$B$2:$B$163,"Tipo 5 – L'Osservatore*",'Table 1'!$E$2:$E$163,"filtro attentivo",'Table 1'!$D$2:$D$163,"SI")</f>
        <v>1</v>
      </c>
      <c r="E5" s="9">
        <f>COUNTIFS('Table 1'!$B$2:$B$163,"Tipo 5 – L'Osservatore*",'Table 1'!$E$2:$E$163,"tono emotivo di fondo",'Table 1'!$D$2:$D$163,"SI")</f>
        <v>2</v>
      </c>
      <c r="F5" s="9">
        <f>COUNTIFS('Table 1'!$B$2:$B$163,"Tipo 5 – L'Osservatore*",'Table 1'!$E$2:$E$163,"meccanismo di evitamento",'Table 1'!$D$2:$D$163,"SI")</f>
        <v>2</v>
      </c>
      <c r="G5" s="9">
        <f>COUNTIFS('Table 1'!$B$2:$B$163,"Tipo 5 – L'Osservatore*",'Table 1'!$E$2:$E$163,"stile di azione e scelta",'Table 1'!$D$2:$D$163,"SI")</f>
        <v>2</v>
      </c>
      <c r="H5" s="9">
        <f>COUNTIFS('Table 1'!$B$2:$B$163,"Tipo 5 – L'Osservatore*",'Table 1'!$E$2:$E$163,"reattività istintiva",'Table 1'!$D$2:$D$163,"SI")</f>
        <v>1</v>
      </c>
      <c r="I5" s="9">
        <f>COUNTIFS('Table 1'!$B$2:$B$163,"Tipo 5 – L'Osservatore*",'Table 1'!$E$2:$E$163,"risposta a stress e sicurezza",'Table 1'!$D$2:$D$163,"SI")</f>
        <v>2</v>
      </c>
      <c r="J5" s="9">
        <f>COUNTIFS('Table 1'!$B$2:$B$163,"Tipo 5 – L'Osservatore*",'Table 1'!$E$2:$E$163,"regolazione della vicinanza emotiva",'Table 1'!$D$2:$D$163,"SI")</f>
        <v>1</v>
      </c>
      <c r="K5" s="9">
        <f t="shared" si="0"/>
        <v>13</v>
      </c>
      <c r="L5" s="10">
        <f t="shared" si="1"/>
        <v>0.72222222222222221</v>
      </c>
    </row>
    <row r="6" spans="1:12" x14ac:dyDescent="0.25">
      <c r="A6" s="2" t="s">
        <v>11</v>
      </c>
      <c r="B6" s="9">
        <f>COUNTIFS('Table 1'!$B$2:$B$163,"Tipo 6 – Lo Scettico Leale*",'Table 1'!$E$2:$E$163,"motivazione centrale",'Table 1'!$D$2:$D$163,"SI")</f>
        <v>2</v>
      </c>
      <c r="C6" s="9">
        <f>COUNTIFS('Table 1'!$B$2:$B$163,"Tipo 6 – Lo Scettico Leale*",'Table 1'!$E$2:$E$163,"paura centrale",'Table 1'!$D$2:$D$163,"SI")</f>
        <v>2</v>
      </c>
      <c r="D6" s="9">
        <f>COUNTIFS('Table 1'!$B$2:$B$163,"Tipo 6 – Lo Scettico Leale*",'Table 1'!$E$2:$E$163,"filtro attentivo",'Table 1'!$D$2:$D$163,"SI")</f>
        <v>1</v>
      </c>
      <c r="E6" s="9">
        <f>COUNTIFS('Table 1'!$B$2:$B$163,"Tipo 6 – Lo Scettico Leale*",'Table 1'!$E$2:$E$163,"tono emotivo di fondo",'Table 1'!$D$2:$D$163,"SI")</f>
        <v>0</v>
      </c>
      <c r="F6" s="9">
        <f>COUNTIFS('Table 1'!$B$2:$B$163,"Tipo 6 – Lo Scettico Leale*",'Table 1'!$E$2:$E$163,"meccanismo di evitamento",'Table 1'!$D$2:$D$163,"SI")</f>
        <v>2</v>
      </c>
      <c r="G6" s="9">
        <f>COUNTIFS('Table 1'!$B$2:$B$163,"Tipo 6 – Lo Scettico Leale*",'Table 1'!$E$2:$E$163,"stile di azione e scelta",'Table 1'!$D$2:$D$163,"SI")</f>
        <v>1</v>
      </c>
      <c r="H6" s="9">
        <f>COUNTIFS('Table 1'!$B$2:$B$163,"Tipo 6 – Lo Scettico Leale*",'Table 1'!$E$2:$E$163,"reattività istintiva",'Table 1'!$D$2:$D$163,"SI")</f>
        <v>2</v>
      </c>
      <c r="I6" s="9">
        <f>COUNTIFS('Table 1'!$B$2:$B$163,"Tipo 6 – Lo Scettico Leale*",'Table 1'!$E$2:$E$163,"risposta a stress e sicurezza",'Table 1'!$D$2:$D$163,"SI")</f>
        <v>1</v>
      </c>
      <c r="J6" s="9">
        <f>COUNTIFS('Table 1'!$B$2:$B$163,"Tipo 6 – Lo Scettico Leale*",'Table 1'!$E$2:$E$163,"regolazione della vicinanza emotiva",'Table 1'!$D$2:$D$163,"SI")</f>
        <v>2</v>
      </c>
      <c r="K6" s="9">
        <f t="shared" si="0"/>
        <v>13</v>
      </c>
      <c r="L6" s="10">
        <f t="shared" si="1"/>
        <v>0.72222222222222221</v>
      </c>
    </row>
    <row r="7" spans="1:12" x14ac:dyDescent="0.25">
      <c r="A7" s="2" t="s">
        <v>35</v>
      </c>
      <c r="B7" s="9">
        <f>COUNTIFS('Table 1'!$B$2:$B$163,"Tipo 7 – L'Ottimista*",'Table 1'!$E$2:$E$163,"motivazione centrale",'Table 1'!$D$2:$D$163,"SI")</f>
        <v>2</v>
      </c>
      <c r="C7" s="9">
        <f>COUNTIFS('Table 1'!$B$2:$B$163,"Tipo 7 – L'Ottimista*",'Table 1'!$E$2:$E$163,"paura centrale",'Table 1'!$D$2:$D$163,"SI")</f>
        <v>1</v>
      </c>
      <c r="D7" s="9">
        <f>COUNTIFS('Table 1'!$B$2:$B$163,"Tipo 7 – L'Ottimista*",'Table 1'!$E$2:$E$163,"filtro attentivo",'Table 1'!$D$2:$D$163,"SI")</f>
        <v>2</v>
      </c>
      <c r="E7" s="9">
        <f>COUNTIFS('Table 1'!$B$2:$B$163,"Tipo 7 – L'Ottimista*",'Table 1'!$E$2:$E$163,"tono emotivo di fondo",'Table 1'!$D$2:$D$163,"SI")</f>
        <v>2</v>
      </c>
      <c r="F7" s="9">
        <f>COUNTIFS('Table 1'!$B$2:$B$163,"Tipo 7 – L'Ottimista*",'Table 1'!$E$2:$E$163,"meccanismo di evitamento",'Table 1'!$D$2:$D$163,"SI")</f>
        <v>2</v>
      </c>
      <c r="G7" s="9">
        <f>COUNTIFS('Table 1'!$B$2:$B$163,"Tipo 7 – L'Ottimista*",'Table 1'!$E$2:$E$163,"stile di azione e scelta",'Table 1'!$D$2:$D$163,"SI")</f>
        <v>2</v>
      </c>
      <c r="H7" s="9">
        <f>COUNTIFS('Table 1'!$B$2:$B$163,"Tipo 7 – L'Ottimista*",'Table 1'!$E$2:$E$163,"reattività istintiva",'Table 1'!$D$2:$D$163,"SI")</f>
        <v>1</v>
      </c>
      <c r="I7" s="9">
        <f>COUNTIFS('Table 1'!$B$2:$B$163,"Tipo 7 – L'Ottimista*",'Table 1'!$E$2:$E$163,"risposta a stress e sicurezza",'Table 1'!$D$2:$D$163,"SI")</f>
        <v>0</v>
      </c>
      <c r="J7" s="9">
        <f>COUNTIFS('Table 1'!$B$2:$B$163,"Tipo 7 – L'Ottimista*",'Table 1'!$E$2:$E$163,"regolazione della vicinanza emotiva",'Table 1'!$D$2:$D$163,"SI")</f>
        <v>2</v>
      </c>
      <c r="K7" s="9">
        <f t="shared" si="0"/>
        <v>14</v>
      </c>
      <c r="L7" s="10">
        <f t="shared" si="1"/>
        <v>0.77777777777777779</v>
      </c>
    </row>
    <row r="8" spans="1:12" x14ac:dyDescent="0.25">
      <c r="A8" s="2" t="s">
        <v>21</v>
      </c>
      <c r="B8" s="9">
        <f>COUNTIFS('Table 1'!$B$2:$B$163,"Tipo 8 – Il Capo*",'Table 1'!$E$2:$E$163,"motivazione centrale",'Table 1'!$D$2:$D$163,"SI")</f>
        <v>1</v>
      </c>
      <c r="C8" s="9">
        <f>COUNTIFS('Table 1'!$B$2:$B$163,"Tipo 8 – Il Capo*",'Table 1'!$E$2:$E$163,"paura centrale",'Table 1'!$D$2:$D$163,"SI")</f>
        <v>2</v>
      </c>
      <c r="D8" s="9">
        <f>COUNTIFS('Table 1'!$B$2:$B$163,"Tipo 8 – Il Capo*",'Table 1'!$E$2:$E$163,"filtro attentivo",'Table 1'!$D$2:$D$163,"SI")</f>
        <v>1</v>
      </c>
      <c r="E8" s="9">
        <f>COUNTIFS('Table 1'!$B$2:$B$163,"Tipo 8 – Il Capo*",'Table 1'!$E$2:$E$163,"tono emotivo di fondo",'Table 1'!$D$2:$D$163,"SI")</f>
        <v>1</v>
      </c>
      <c r="F8" s="9">
        <f>COUNTIFS('Table 1'!$B$2:$B$163,"Tipo 8 – Il Capo*",'Table 1'!$E$2:$E$163,"meccanismo di evitamento",'Table 1'!$D$2:$D$163,"SI")</f>
        <v>2</v>
      </c>
      <c r="G8" s="9">
        <f>COUNTIFS('Table 1'!$B$2:$B$163,"Tipo 8 – Il Capo*",'Table 1'!$E$2:$E$163,"stile di azione e scelta",'Table 1'!$D$2:$D$163,"SI")</f>
        <v>1</v>
      </c>
      <c r="H8" s="9">
        <f>COUNTIFS('Table 1'!$B$2:$B$163,"Tipo 8 – Il Capo*",'Table 1'!$E$2:$E$163,"reattività istintiva",'Table 1'!$D$2:$D$163,"SI")</f>
        <v>2</v>
      </c>
      <c r="I8" s="9">
        <f>COUNTIFS('Table 1'!$B$2:$B$163,"Tipo 8 – Il Capo*",'Table 1'!$E$2:$E$163,"risposta a stress e sicurezza",'Table 1'!$D$2:$D$163,"SI")</f>
        <v>1</v>
      </c>
      <c r="J8" s="9">
        <f>COUNTIFS('Table 1'!$B$2:$B$163,"Tipo 8 – Il Capo*",'Table 1'!$E$2:$E$163,"regolazione della vicinanza emotiva",'Table 1'!$D$2:$D$163,"SI")</f>
        <v>1</v>
      </c>
      <c r="K8" s="9">
        <f t="shared" si="0"/>
        <v>12</v>
      </c>
      <c r="L8" s="10">
        <f t="shared" si="1"/>
        <v>0.66666666666666663</v>
      </c>
    </row>
    <row r="9" spans="1:12" x14ac:dyDescent="0.25">
      <c r="A9" s="2" t="s">
        <v>16</v>
      </c>
      <c r="B9" s="9">
        <f>COUNTIFS('Table 1'!$B$2:$B$163,"Tipo 9 – Il Mediatore*",'Table 1'!$E$2:$E$163,"motivazione centrale",'Table 1'!$D$2:$D$163,"SI")</f>
        <v>1</v>
      </c>
      <c r="C9" s="9">
        <f>COUNTIFS('Table 1'!$B$2:$B$163,"Tipo 9 – Il Mediatore*",'Table 1'!$E$2:$E$163,"paura centrale",'Table 1'!$D$2:$D$163,"SI")</f>
        <v>2</v>
      </c>
      <c r="D9" s="9">
        <f>COUNTIFS('Table 1'!$B$2:$B$163,"Tipo 9 – Il Mediatore*",'Table 1'!$E$2:$E$163,"filtro attentivo",'Table 1'!$D$2:$D$163,"SI")</f>
        <v>2</v>
      </c>
      <c r="E9" s="9">
        <f>COUNTIFS('Table 1'!$B$2:$B$163,"Tipo 9 – Il Mediatore*",'Table 1'!$E$2:$E$163,"tono emotivo di fondo",'Table 1'!$D$2:$D$163,"SI")</f>
        <v>2</v>
      </c>
      <c r="F9" s="9">
        <f>COUNTIFS('Table 1'!$B$2:$B$163,"Tipo 9 – Il Mediatore*",'Table 1'!$E$2:$E$163,"meccanismo di evitamento",'Table 1'!$D$2:$D$163,"SI")</f>
        <v>1</v>
      </c>
      <c r="G9" s="9">
        <f>COUNTIFS('Table 1'!$B$2:$B$163,"Tipo 9 – Il Mediatore*",'Table 1'!$E$2:$E$163,"stile di azione e scelta",'Table 1'!$D$2:$D$163,"SI")</f>
        <v>2</v>
      </c>
      <c r="H9" s="9">
        <f>COUNTIFS('Table 1'!$B$2:$B$163,"Tipo 9 – Il Mediatore*",'Table 1'!$E$2:$E$163,"reattività istintiva",'Table 1'!$D$2:$D$163,"SI")</f>
        <v>1</v>
      </c>
      <c r="I9" s="9">
        <f>COUNTIFS('Table 1'!$B$2:$B$163,"Tipo 9 – Il Mediatore*",'Table 1'!$E$2:$E$163,"risposta a stress e sicurezza",'Table 1'!$D$2:$D$163,"SI")</f>
        <v>1</v>
      </c>
      <c r="J9" s="9">
        <f>COUNTIFS('Table 1'!$B$2:$B$163,"Tipo 9 – Il Mediatore*",'Table 1'!$E$2:$E$163,"regolazione della vicinanza emotiva",'Table 1'!$D$2:$D$163,"SI")</f>
        <v>2</v>
      </c>
      <c r="K9" s="9">
        <f t="shared" si="0"/>
        <v>14</v>
      </c>
      <c r="L9" s="10">
        <f t="shared" si="1"/>
        <v>0.77777777777777779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Table 1</vt:lpstr>
      <vt:lpstr>Punteggi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Daniele Trasatti</cp:lastModifiedBy>
  <cp:revision>0</cp:revision>
  <dcterms:created xsi:type="dcterms:W3CDTF">2026-09-26T07:23:53Z</dcterms:created>
  <dcterms:modified xsi:type="dcterms:W3CDTF">2026-09-26T07:57:02Z</dcterms:modified>
  <dc:language>en-US</dc:language>
</cp:coreProperties>
</file>